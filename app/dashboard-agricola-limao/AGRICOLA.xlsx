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1573e9505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camentos" sheetId="1" r:id="R8a6531573ad44ec2"/>
    <x:sheet xmlns:r="http://schemas.openxmlformats.org/officeDocument/2006/relationships" name="Como usar" sheetId="2" r:id="R7a5bdf6a952d4103"/>
    <x:sheet xmlns:r="http://schemas.openxmlformats.org/officeDocument/2006/relationships" name="Parametros" sheetId="3" r:id="R8bccf512d07d4ed7"/>
    <x:sheet xmlns:r="http://schemas.openxmlformats.org/officeDocument/2006/relationships" name="Resumo Demo" sheetId="4" r:id="R6ed5834e3e0b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R$ #,##0.00"/>
    <x:numFmt numFmtId="202" formatCode="#,##0.00"/>
    <x:numFmt numFmtId="203" formatCode="#,##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1" xfId="0" applyNumberFormat="1" applyFont="1" applyFill="0" applyBorder="1"/>
    <x:xf numFmtId="0" fontId="0" borderId="1" xfId="0" applyNumberFormat="1" applyFont="1" applyFill="0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23c88468c486e" /><Relationship Type="http://schemas.openxmlformats.org/officeDocument/2006/relationships/theme" Target="/xl/theme/theme1.xml" Id="Reb1b3947735941ad" /><Relationship Type="http://schemas.openxmlformats.org/officeDocument/2006/relationships/sharedStrings" Target="/xl/sharedStrings.xml" Id="R22d78e0b849645b7" /><Relationship Type="http://schemas.openxmlformats.org/officeDocument/2006/relationships/worksheet" Target="/xl/worksheets/sheet1.xml" Id="R8a6531573ad44ec2" /><Relationship Type="http://schemas.openxmlformats.org/officeDocument/2006/relationships/worksheet" Target="/xl/worksheets/sheet2.xml" Id="R7a5bdf6a952d4103" /><Relationship Type="http://schemas.openxmlformats.org/officeDocument/2006/relationships/worksheet" Target="/xl/worksheets/sheet3.xml" Id="R8bccf512d07d4ed7" /><Relationship Type="http://schemas.openxmlformats.org/officeDocument/2006/relationships/worksheet" Target="/xl/worksheets/sheet4.xml" Id="R6ed5834e3e0b45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632d8dabdc45eb" /><Relationship Type="http://schemas.openxmlformats.org/officeDocument/2006/relationships/chart" Target="/xl/drawings/charts/chart2.xml" Id="R60026e21a25746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Custos mensais por categoria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Insumos</c:v>
          </c:tx>
          <c:cat>
            <c:strRef>
              <c:f>'Resumo Demo'!$A$13:$A$24</c:f>
              <c:strCache>
                <c:ptCount val="0"/>
              </c:strCache>
            </c:strRef>
          </c:cat>
          <c:val>
            <c:numRef>
              <c:f>'Resumo Demo'!$B$13:$B$24</c:f>
              <c:numCache>
                <c:formatCode>R$ #,##0.00</c:formatCode>
                <c:ptCount val="0"/>
              </c:numCache>
            </c:numRef>
          </c:val>
        </c:ser>
        <c:ser>
          <c:idx val="1"/>
          <c:order val="1"/>
          <c:tx>
            <c:v>Mão de Obra</c:v>
          </c:tx>
          <c:cat>
            <c:strRef>
              <c:f>'Resumo Demo'!$A$13:$A$24</c:f>
              <c:strCache>
                <c:ptCount val="0"/>
              </c:strCache>
            </c:strRef>
          </c:cat>
          <c:val>
            <c:numRef>
              <c:f>'Resumo Demo'!$C$13:$C$24</c:f>
              <c:numCache>
                <c:formatCode>R$ #,##0.00</c:formatCode>
                <c:ptCount val="0"/>
              </c:numCache>
            </c:numRef>
          </c:val>
        </c:ser>
        <c:ser>
          <c:idx val="2"/>
          <c:order val="2"/>
          <c:tx>
            <c:v>Custos Gerais</c:v>
          </c:tx>
          <c:cat>
            <c:strRef>
              <c:f>'Resumo Demo'!$A$13:$A$24</c:f>
              <c:strCache>
                <c:ptCount val="0"/>
              </c:strCache>
            </c:strRef>
          </c:cat>
          <c:val>
            <c:numRef>
              <c:f>'Resumo Demo'!$D$13:$D$24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Produção mensal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Series 1</c:v>
          </c:tx>
          <c:marker/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632d8dabdc45eb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026e21a25746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73552c2dc4db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16" hidden="0" customWidth="1"/>
    <x:col min="5" max="5" width="15" hidden="0" customWidth="1"/>
    <x:col min="6" max="6" width="15" hidden="0" customWidth="1"/>
    <x:col min="7" max="7" width="24" hidden="0" customWidth="1"/>
    <x:col min="8" max="8" width="22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18" hidden="0" customWidth="1"/>
    <x:col min="14" max="14" width="16" hidden="0" customWidth="1"/>
    <x:col min="15" max="15" width="13" hidden="0" customWidth="1"/>
    <x:col min="16" max="16" width="32" hidden="0" customWidth="1"/>
  </x:cols>
  <x:sheetData>
    <x:row r="1">
      <x:c r="A1" s="3" t="str">
        <x:v>Data</x:v>
      </x:c>
      <x:c r="B1" s="3" t="str">
        <x:v>Ano</x:v>
      </x:c>
      <x:c r="C1" s="3" t="str">
        <x:v>Mês</x:v>
      </x:c>
      <x:c r="D1" s="3" t="str">
        <x:v>Safra</x:v>
      </x:c>
      <x:c r="E1" s="3" t="str">
        <x:v>Tipo de Custo</x:v>
      </x:c>
      <x:c r="F1" s="3" t="str">
        <x:v>Categoria</x:v>
      </x:c>
      <x:c r="G1" s="3" t="str">
        <x:v>Produto / Atividade</x:v>
      </x:c>
      <x:c r="H1" s="3" t="str">
        <x:v>Motivo / Aplicação</x:v>
      </x:c>
      <x:c r="I1" s="3" t="str">
        <x:v>Quantidade</x:v>
      </x:c>
      <x:c r="J1" s="3" t="str">
        <x:v>Unidade</x:v>
      </x:c>
      <x:c r="K1" s="3" t="str">
        <x:v>Valor Unit. (R$)</x:v>
      </x:c>
      <x:c r="L1" s="3" t="str">
        <x:v>Valor Total (R$)</x:v>
      </x:c>
      <x:c r="M1" s="3" t="str">
        <x:v>Funcionário</x:v>
      </x:c>
      <x:c r="N1" s="3" t="str">
        <x:v>Área / Poço</x:v>
      </x:c>
      <x:c r="O1" s="3" t="str">
        <x:v>Plantio Novo?</x:v>
      </x:c>
      <x:c r="P1" s="3" t="str">
        <x:v>Observação</x:v>
      </x:c>
    </x:row>
    <x:row r="2">
      <x:c r="A2" s="6" t="n">
        <x:v>45659</x:v>
      </x:c>
      <x:c r="B2" t="n">
        <x:v>2025</x:v>
      </x:c>
      <x:c r="C2" t="str">
        <x:v>Jan</x:v>
      </x:c>
      <x:c r="D2" t="str">
        <x:v>2025</x:v>
      </x:c>
      <x:c r="E2" t="str">
        <x:v>Insumos</x:v>
      </x:c>
      <x:c r="F2" t="str">
        <x:v>Insumos</x:v>
      </x:c>
      <x:c r="G2" t="str">
        <x:v>Sulfato de Magnésio</x:v>
      </x:c>
      <x:c r="H2" t="str">
        <x:v>Nutrição</x:v>
      </x:c>
      <x:c r="I2" s="10" t="n">
        <x:v>48.95</x:v>
      </x:c>
      <x:c r="J2" t="str">
        <x:v>KG</x:v>
      </x:c>
      <x:c r="K2" s="8" t="n">
        <x:v>13.5</x:v>
      </x:c>
      <x:c r="L2" s="8" t="n">
        <x:v>660.83</x:v>
      </x:c>
      <x:c r="M2" t="str">
        <x:v>-</x:v>
      </x:c>
      <x:c r="N2" t="str">
        <x:v>Poço 01</x:v>
      </x:c>
      <x:c r="O2" t="str">
        <x:v>Não</x:v>
      </x:c>
      <x:c r="P2" t="str">
        <x:v>Dado fictício para demonstração</x:v>
      </x:c>
    </x:row>
    <x:row r="3">
      <x:c r="A3" s="6" t="n">
        <x:v>45659</x:v>
      </x:c>
      <x:c r="B3" t="n">
        <x:v>2025</x:v>
      </x:c>
      <x:c r="C3" t="str">
        <x:v>Jan</x:v>
      </x:c>
      <x:c r="D3" t="str">
        <x:v>2025</x:v>
      </x:c>
      <x:c r="E3" t="str">
        <x:v>Insumos</x:v>
      </x:c>
      <x:c r="F3" t="str">
        <x:v>Insumos</x:v>
      </x:c>
      <x:c r="G3" t="str">
        <x:v>Sulfato de Magnésio</x:v>
      </x:c>
      <x:c r="H3" t="str">
        <x:v>Nutrição</x:v>
      </x:c>
      <x:c r="I3" s="10" t="n">
        <x:v>71.61</x:v>
      </x:c>
      <x:c r="J3" t="str">
        <x:v>KG</x:v>
      </x:c>
      <x:c r="K3" s="8" t="n">
        <x:v>13.5</x:v>
      </x:c>
      <x:c r="L3" s="8" t="n">
        <x:v>966.74</x:v>
      </x:c>
      <x:c r="M3" t="str">
        <x:v>-</x:v>
      </x:c>
      <x:c r="N3" t="str">
        <x:v>Poço 03</x:v>
      </x:c>
      <x:c r="O3" t="str">
        <x:v>Não</x:v>
      </x:c>
      <x:c r="P3" t="str">
        <x:v>Dado fictício para demonstração</x:v>
      </x:c>
    </x:row>
    <x:row r="4">
      <x:c r="A4" s="6" t="n">
        <x:v>45661</x:v>
      </x:c>
      <x:c r="B4" t="n">
        <x:v>2025</x:v>
      </x:c>
      <x:c r="C4" t="str">
        <x:v>Jan</x:v>
      </x:c>
      <x:c r="D4" t="str">
        <x:v>2025</x:v>
      </x:c>
      <x:c r="E4" t="str">
        <x:v>Mão de Obra</x:v>
      </x:c>
      <x:c r="F4" t="str">
        <x:v>Mão de Obra</x:v>
      </x:c>
      <x:c r="G4" t="str">
        <x:v>Aplicação de herbicida</x:v>
      </x:c>
      <x:c r="H4" t="str">
        <x:v>Herbicida</x:v>
      </x:c>
      <x:c r="I4" s="10" t="n">
        <x:v>8.41</x:v>
      </x:c>
      <x:c r="J4" t="str">
        <x:v>Hora</x:v>
      </x:c>
      <x:c r="K4" s="8" t="n">
        <x:v>26</x:v>
      </x:c>
      <x:c r="L4" s="8" t="n">
        <x:v>218.66</x:v>
      </x:c>
      <x:c r="M4" t="str">
        <x:v>Rogério Lima</x:v>
      </x:c>
      <x:c r="N4" t="str">
        <x:v>Poço 02</x:v>
      </x:c>
      <x:c r="O4" t="str">
        <x:v>Não</x:v>
      </x:c>
      <x:c r="P4" t="str">
        <x:v>Dado fictício para demonstração</x:v>
      </x:c>
    </x:row>
    <x:row r="5">
      <x:c r="A5" s="6" t="n">
        <x:v>45662</x:v>
      </x:c>
      <x:c r="B5" t="n">
        <x:v>2025</x:v>
      </x:c>
      <x:c r="C5" t="str">
        <x:v>Jan</x:v>
      </x:c>
      <x:c r="D5" t="str">
        <x:v>2025</x:v>
      </x:c>
      <x:c r="E5" t="str">
        <x:v>Insumos</x:v>
      </x:c>
      <x:c r="F5" t="str">
        <x:v>Insumos</x:v>
      </x:c>
      <x:c r="G5" t="str">
        <x:v>Fosfato Monoamônico</x:v>
      </x:c>
      <x:c r="H5" t="str">
        <x:v>Nutrição</x:v>
      </x:c>
      <x:c r="I5" s="10" t="n">
        <x:v>66.07</x:v>
      </x:c>
      <x:c r="J5" t="str">
        <x:v>KG</x:v>
      </x:c>
      <x:c r="K5" s="8" t="n">
        <x:v>19.2</x:v>
      </x:c>
      <x:c r="L5" s="8" t="n">
        <x:v>1268.54</x:v>
      </x:c>
      <x:c r="M5" t="str">
        <x:v>-</x:v>
      </x:c>
      <x:c r="N5" t="str">
        <x:v>Poço 02</x:v>
      </x:c>
      <x:c r="O5" t="str">
        <x:v>Não</x:v>
      </x:c>
      <x:c r="P5" t="str">
        <x:v>Dado fictício para demonstração</x:v>
      </x:c>
    </x:row>
    <x:row r="6">
      <x:c r="A6" s="6" t="n">
        <x:v>45662</x:v>
      </x:c>
      <x:c r="B6" t="n">
        <x:v>2025</x:v>
      </x:c>
      <x:c r="C6" t="str">
        <x:v>Jan</x:v>
      </x:c>
      <x:c r="D6" t="str">
        <x:v>2025</x:v>
      </x:c>
      <x:c r="E6" t="str">
        <x:v>Mão de Obra</x:v>
      </x:c>
      <x:c r="F6" t="str">
        <x:v>Mão de Obra</x:v>
      </x:c>
      <x:c r="G6" t="str">
        <x:v>Capina</x:v>
      </x:c>
      <x:c r="H6" t="str">
        <x:v>Capina</x:v>
      </x:c>
      <x:c r="I6" s="10" t="n">
        <x:v>10.81</x:v>
      </x:c>
      <x:c r="J6" t="str">
        <x:v>Hora</x:v>
      </x:c>
      <x:c r="K6" s="8" t="n">
        <x:v>22</x:v>
      </x:c>
      <x:c r="L6" s="8" t="n">
        <x:v>237.82</x:v>
      </x:c>
      <x:c r="M6" t="str">
        <x:v>Carlos Alberto</x:v>
      </x:c>
      <x:c r="N6" t="str">
        <x:v>Poço 02</x:v>
      </x:c>
      <x:c r="O6" t="str">
        <x:v>Não</x:v>
      </x:c>
      <x:c r="P6" t="str">
        <x:v>Dado fictício para demonstração</x:v>
      </x:c>
    </x:row>
    <x:row r="7">
      <x:c r="A7" s="6" t="n">
        <x:v>45664</x:v>
      </x:c>
      <x:c r="B7" t="n">
        <x:v>2025</x:v>
      </x:c>
      <x:c r="C7" t="str">
        <x:v>Jan</x:v>
      </x:c>
      <x:c r="D7" t="str">
        <x:v>2025</x:v>
      </x:c>
      <x:c r="E7" t="str">
        <x:v>Insumos</x:v>
      </x:c>
      <x:c r="F7" t="str">
        <x:v>Insumos</x:v>
      </x:c>
      <x:c r="G7" t="str">
        <x:v>Fosfato Monoamônico</x:v>
      </x:c>
      <x:c r="H7" t="str">
        <x:v>Nutrição</x:v>
      </x:c>
      <x:c r="I7" s="10" t="n">
        <x:v>68.8</x:v>
      </x:c>
      <x:c r="J7" t="str">
        <x:v>KG</x:v>
      </x:c>
      <x:c r="K7" s="8" t="n">
        <x:v>19.2</x:v>
      </x:c>
      <x:c r="L7" s="8" t="n">
        <x:v>1320.96</x:v>
      </x:c>
      <x:c r="M7" t="str">
        <x:v>-</x:v>
      </x:c>
      <x:c r="N7" t="str">
        <x:v>Poço 03</x:v>
      </x:c>
      <x:c r="O7" t="str">
        <x:v>Não</x:v>
      </x:c>
      <x:c r="P7" t="str">
        <x:v>Dado fictício para demonstração</x:v>
      </x:c>
    </x:row>
    <x:row r="8">
      <x:c r="A8" s="6" t="n">
        <x:v>45664</x:v>
      </x:c>
      <x:c r="B8" t="n">
        <x:v>2025</x:v>
      </x:c>
      <x:c r="C8" t="str">
        <x:v>Jan</x:v>
      </x:c>
      <x:c r="D8" t="str">
        <x:v>2025</x:v>
      </x:c>
      <x:c r="E8" t="str">
        <x:v>Mão de Obra</x:v>
      </x:c>
      <x:c r="F8" t="str">
        <x:v>Mão de Obra</x:v>
      </x:c>
      <x:c r="G8" t="str">
        <x:v>Roçada</x:v>
      </x:c>
      <x:c r="H8" t="str">
        <x:v>Roçada</x:v>
      </x:c>
      <x:c r="I8" s="10" t="n">
        <x:v>9.2</x:v>
      </x:c>
      <x:c r="J8" t="str">
        <x:v>Hora</x:v>
      </x:c>
      <x:c r="K8" s="8" t="n">
        <x:v>22</x:v>
      </x:c>
      <x:c r="L8" s="8" t="n">
        <x:v>202.4</x:v>
      </x:c>
      <x:c r="M8" t="str">
        <x:v>Lucas Pereira</x:v>
      </x:c>
      <x:c r="N8" t="str">
        <x:v>Poço 04</x:v>
      </x:c>
      <x:c r="O8" t="str">
        <x:v>Não</x:v>
      </x:c>
      <x:c r="P8" t="str">
        <x:v>Dado fictício para demonstração</x:v>
      </x:c>
    </x:row>
    <x:row r="9">
      <x:c r="A9" s="6" t="n">
        <x:v>45665</x:v>
      </x:c>
      <x:c r="B9" t="n">
        <x:v>2025</x:v>
      </x:c>
      <x:c r="C9" t="str">
        <x:v>Jan</x:v>
      </x:c>
      <x:c r="D9" t="str">
        <x:v>2025</x:v>
      </x:c>
      <x:c r="E9" t="str">
        <x:v>Insumos</x:v>
      </x:c>
      <x:c r="F9" t="str">
        <x:v>Insumos</x:v>
      </x:c>
      <x:c r="G9" t="str">
        <x:v>Cobre Recop</x:v>
      </x:c>
      <x:c r="H9" t="str">
        <x:v>Cancro</x:v>
      </x:c>
      <x:c r="I9" s="10" t="n">
        <x:v>7.92</x:v>
      </x:c>
      <x:c r="J9" t="str">
        <x:v>KG</x:v>
      </x:c>
      <x:c r="K9" s="8" t="n">
        <x:v>67.5</x:v>
      </x:c>
      <x:c r="L9" s="8" t="n">
        <x:v>534.6</x:v>
      </x:c>
      <x:c r="M9" t="str">
        <x:v>-</x:v>
      </x:c>
      <x:c r="N9" t="str">
        <x:v>Poço 03</x:v>
      </x:c>
      <x:c r="O9" t="str">
        <x:v>Não</x:v>
      </x:c>
      <x:c r="P9" t="str">
        <x:v>Dado fictício para demonstração</x:v>
      </x:c>
    </x:row>
    <x:row r="10">
      <x:c r="A10" s="6" t="n">
        <x:v>45665</x:v>
      </x:c>
      <x:c r="B10" t="n">
        <x:v>2025</x:v>
      </x:c>
      <x:c r="C10" t="str">
        <x:v>Jan</x:v>
      </x:c>
      <x:c r="D10" t="str">
        <x:v>2025</x:v>
      </x:c>
      <x:c r="E10" t="str">
        <x:v>Mão de Obra</x:v>
      </x:c>
      <x:c r="F10" t="str">
        <x:v>Mão de Obra</x:v>
      </x:c>
      <x:c r="G10" t="str">
        <x:v>Capina</x:v>
      </x:c>
      <x:c r="H10" t="str">
        <x:v>Capina</x:v>
      </x:c>
      <x:c r="I10" s="10" t="n">
        <x:v>6.86</x:v>
      </x:c>
      <x:c r="J10" t="str">
        <x:v>Hora</x:v>
      </x:c>
      <x:c r="K10" s="8" t="n">
        <x:v>22</x:v>
      </x:c>
      <x:c r="L10" s="8" t="n">
        <x:v>150.92</x:v>
      </x:c>
      <x:c r="M10" t="str">
        <x:v>José da Silva</x:v>
      </x:c>
      <x:c r="N10" t="str">
        <x:v>Poço 04</x:v>
      </x:c>
      <x:c r="O10" t="str">
        <x:v>Não</x:v>
      </x:c>
      <x:c r="P10" t="str">
        <x:v>Dado fictício para demonstração</x:v>
      </x:c>
    </x:row>
    <x:row r="11">
      <x:c r="A11" s="6" t="n">
        <x:v>45665</x:v>
      </x:c>
      <x:c r="B11" t="n">
        <x:v>2025</x:v>
      </x:c>
      <x:c r="C11" t="str">
        <x:v>Jan</x:v>
      </x:c>
      <x:c r="D11" t="str">
        <x:v>2025</x:v>
      </x:c>
      <x:c r="E11" t="str">
        <x:v>Mão de Obra</x:v>
      </x:c>
      <x:c r="F11" t="str">
        <x:v>Mão de Obra</x:v>
      </x:c>
      <x:c r="G11" t="str">
        <x:v>Colheita</x:v>
      </x:c>
      <x:c r="H11" t="str">
        <x:v>Colheita</x:v>
      </x:c>
      <x:c r="I11" s="10" t="n">
        <x:v>10.4</x:v>
      </x:c>
      <x:c r="J11" t="str">
        <x:v>Hora</x:v>
      </x:c>
      <x:c r="K11" s="8" t="n">
        <x:v>28</x:v>
      </x:c>
      <x:c r="L11" s="8" t="n">
        <x:v>291.2</x:v>
      </x:c>
      <x:c r="M11" t="str">
        <x:v>Daniel Costa</x:v>
      </x:c>
      <x:c r="N11" t="str">
        <x:v>Poço 02</x:v>
      </x:c>
      <x:c r="O11" t="str">
        <x:v>Não</x:v>
      </x:c>
      <x:c r="P11" t="str">
        <x:v>Dado fictício para demonstração</x:v>
      </x:c>
    </x:row>
    <x:row r="12">
      <x:c r="A12" s="6" t="n">
        <x:v>45666</x:v>
      </x:c>
      <x:c r="B12" t="n">
        <x:v>2025</x:v>
      </x:c>
      <x:c r="C12" t="str">
        <x:v>Jan</x:v>
      </x:c>
      <x:c r="D12" t="str">
        <x:v>2025</x:v>
      </x:c>
      <x:c r="E12" t="str">
        <x:v>Custos Gerais</x:v>
      </x:c>
      <x:c r="F12" t="str">
        <x:v>Custos Gerais</x:v>
      </x:c>
      <x:c r="G12" t="str">
        <x:v>Peças e reparos</x:v>
      </x:c>
      <x:c r="H12" t="str">
        <x:v>Manutenção</x:v>
      </x:c>
      <x:c r="I12" s="10" t="n">
        <x:v>1.91</x:v>
      </x:c>
      <x:c r="J12" t="str">
        <x:v>UN</x:v>
      </x:c>
      <x:c r="K12" s="8" t="n">
        <x:v>280</x:v>
      </x:c>
      <x:c r="L12" s="8" t="n">
        <x:v>534.8</x:v>
      </x:c>
      <x:c r="M12" t="str">
        <x:v>-</x:v>
      </x:c>
      <x:c r="N12" t="str">
        <x:v>Poço 02</x:v>
      </x:c>
      <x:c r="O12" t="str">
        <x:v>Não</x:v>
      </x:c>
      <x:c r="P12" t="str">
        <x:v>Dado fictício para demonstração</x:v>
      </x:c>
    </x:row>
    <x:row r="13">
      <x:c r="A13" s="6" t="n">
        <x:v>45667</x:v>
      </x:c>
      <x:c r="B13" t="n">
        <x:v>2025</x:v>
      </x:c>
      <x:c r="C13" t="str">
        <x:v>Jan</x:v>
      </x:c>
      <x:c r="D13" t="str">
        <x:v>2025</x:v>
      </x:c>
      <x:c r="E13" t="str">
        <x:v>Mão de Obra</x:v>
      </x:c>
      <x:c r="F13" t="str">
        <x:v>Mão de Obra</x:v>
      </x:c>
      <x:c r="G13" t="str">
        <x:v>Aplicação de herbicida</x:v>
      </x:c>
      <x:c r="H13" t="str">
        <x:v>Herbicida</x:v>
      </x:c>
      <x:c r="I13" s="10" t="n">
        <x:v>7.25</x:v>
      </x:c>
      <x:c r="J13" t="str">
        <x:v>Hora</x:v>
      </x:c>
      <x:c r="K13" s="8" t="n">
        <x:v>26</x:v>
      </x:c>
      <x:c r="L13" s="8" t="n">
        <x:v>188.5</x:v>
      </x:c>
      <x:c r="M13" t="str">
        <x:v>João Santos</x:v>
      </x:c>
      <x:c r="N13" t="str">
        <x:v>Poço 01</x:v>
      </x:c>
      <x:c r="O13" t="str">
        <x:v>Não</x:v>
      </x:c>
      <x:c r="P13" t="str">
        <x:v>Dado fictício para demonstração</x:v>
      </x:c>
    </x:row>
    <x:row r="14">
      <x:c r="A14" s="6" t="n">
        <x:v>45668</x:v>
      </x:c>
      <x:c r="B14" t="n">
        <x:v>2025</x:v>
      </x:c>
      <x:c r="C14" t="str">
        <x:v>Jan</x:v>
      </x:c>
      <x:c r="D14" t="str">
        <x:v>2025</x:v>
      </x:c>
      <x:c r="E14" t="str">
        <x:v>Insumos</x:v>
      </x:c>
      <x:c r="F14" t="str">
        <x:v>Insumos</x:v>
      </x:c>
      <x:c r="G14" t="str">
        <x:v>Nitrato de Amônia</x:v>
      </x:c>
      <x:c r="H14" t="str">
        <x:v>Nutrição</x:v>
      </x:c>
      <x:c r="I14" s="10" t="n">
        <x:v>35</x:v>
      </x:c>
      <x:c r="J14" t="str">
        <x:v>KG</x:v>
      </x:c>
      <x:c r="K14" s="8" t="n">
        <x:v>18.5</x:v>
      </x:c>
      <x:c r="L14" s="8" t="n">
        <x:v>647.5</x:v>
      </x:c>
      <x:c r="M14" t="str">
        <x:v>-</x:v>
      </x:c>
      <x:c r="N14" t="str">
        <x:v>Poço 03</x:v>
      </x:c>
      <x:c r="O14" t="str">
        <x:v>Não</x:v>
      </x:c>
      <x:c r="P14" t="str">
        <x:v>Dado fictício para demonstração</x:v>
      </x:c>
    </x:row>
    <x:row r="15">
      <x:c r="A15" s="6" t="n">
        <x:v>45668</x:v>
      </x:c>
      <x:c r="B15" t="n">
        <x:v>2025</x:v>
      </x:c>
      <x:c r="C15" t="str">
        <x:v>Jan</x:v>
      </x:c>
      <x:c r="D15" t="str">
        <x:v>2025</x:v>
      </x:c>
      <x:c r="E15" t="str">
        <x:v>Insumos</x:v>
      </x:c>
      <x:c r="F15" t="str">
        <x:v>Insumos</x:v>
      </x:c>
      <x:c r="G15" t="str">
        <x:v>Ureia</x:v>
      </x:c>
      <x:c r="H15" t="str">
        <x:v>Adubação</x:v>
      </x:c>
      <x:c r="I15" s="10" t="n">
        <x:v>47.04</x:v>
      </x:c>
      <x:c r="J15" t="str">
        <x:v>KG</x:v>
      </x:c>
      <x:c r="K15" s="8" t="n">
        <x:v>16.8</x:v>
      </x:c>
      <x:c r="L15" s="8" t="n">
        <x:v>790.27</x:v>
      </x:c>
      <x:c r="M15" t="str">
        <x:v>-</x:v>
      </x:c>
      <x:c r="N15" t="str">
        <x:v>Poço 04</x:v>
      </x:c>
      <x:c r="O15" t="str">
        <x:v>Não</x:v>
      </x:c>
      <x:c r="P15" t="str">
        <x:v>Dado fictício para demonstração</x:v>
      </x:c>
    </x:row>
    <x:row r="16">
      <x:c r="A16" s="6" t="n">
        <x:v>45670</x:v>
      </x:c>
      <x:c r="B16" t="n">
        <x:v>2025</x:v>
      </x:c>
      <x:c r="C16" t="str">
        <x:v>Jan</x:v>
      </x:c>
      <x:c r="D16" t="str">
        <x:v>2025</x:v>
      </x:c>
      <x:c r="E16" t="str">
        <x:v>Insumos</x:v>
      </x:c>
      <x:c r="F16" t="str">
        <x:v>Insumos</x:v>
      </x:c>
      <x:c r="G16" t="str">
        <x:v>Sulfato de Magnésio</x:v>
      </x:c>
      <x:c r="H16" t="str">
        <x:v>Nutrição</x:v>
      </x:c>
      <x:c r="I16" s="10" t="n">
        <x:v>37.02</x:v>
      </x:c>
      <x:c r="J16" t="str">
        <x:v>KG</x:v>
      </x:c>
      <x:c r="K16" s="8" t="n">
        <x:v>13.5</x:v>
      </x:c>
      <x:c r="L16" s="8" t="n">
        <x:v>499.77</x:v>
      </x:c>
      <x:c r="M16" t="str">
        <x:v>-</x:v>
      </x:c>
      <x:c r="N16" t="str">
        <x:v>Poço 03</x:v>
      </x:c>
      <x:c r="O16" t="str">
        <x:v>Não</x:v>
      </x:c>
      <x:c r="P16" t="str">
        <x:v>Dado fictício para demonstração</x:v>
      </x:c>
    </x:row>
    <x:row r="17">
      <x:c r="A17" s="6" t="n">
        <x:v>45672</x:v>
      </x:c>
      <x:c r="B17" t="n">
        <x:v>2025</x:v>
      </x:c>
      <x:c r="C17" t="str">
        <x:v>Jan</x:v>
      </x:c>
      <x:c r="D17" t="str">
        <x:v>2025</x:v>
      </x:c>
      <x:c r="E17" t="str">
        <x:v>Insumos</x:v>
      </x:c>
      <x:c r="F17" t="str">
        <x:v>Insumos</x:v>
      </x:c>
      <x:c r="G17" t="str">
        <x:v>Cobre Recop</x:v>
      </x:c>
      <x:c r="H17" t="str">
        <x:v>Cancro</x:v>
      </x:c>
      <x:c r="I17" s="10" t="n">
        <x:v>15.29</x:v>
      </x:c>
      <x:c r="J17" t="str">
        <x:v>KG</x:v>
      </x:c>
      <x:c r="K17" s="8" t="n">
        <x:v>67.5</x:v>
      </x:c>
      <x:c r="L17" s="8" t="n">
        <x:v>1032.08</x:v>
      </x:c>
      <x:c r="M17" t="str">
        <x:v>-</x:v>
      </x:c>
      <x:c r="N17" t="str">
        <x:v>Poço 03</x:v>
      </x:c>
      <x:c r="O17" t="str">
        <x:v>Não</x:v>
      </x:c>
      <x:c r="P17" t="str">
        <x:v>Dado fictício para demonstração</x:v>
      </x:c>
    </x:row>
    <x:row r="18">
      <x:c r="A18" s="6" t="n">
        <x:v>45672</x:v>
      </x:c>
      <x:c r="B18" t="n">
        <x:v>2025</x:v>
      </x:c>
      <x:c r="C18" t="str">
        <x:v>Jan</x:v>
      </x:c>
      <x:c r="D18" t="str">
        <x:v>2025</x:v>
      </x:c>
      <x:c r="E18" t="str">
        <x:v>Insumos</x:v>
      </x:c>
      <x:c r="F18" t="str">
        <x:v>Insumos</x:v>
      </x:c>
      <x:c r="G18" t="str">
        <x:v>Bórax</x:v>
      </x:c>
      <x:c r="H18" t="str">
        <x:v>Nutrição</x:v>
      </x:c>
      <x:c r="I18" s="10" t="n">
        <x:v>12.5</x:v>
      </x:c>
      <x:c r="J18" t="str">
        <x:v>KG</x:v>
      </x:c>
      <x:c r="K18" s="8" t="n">
        <x:v>35.6</x:v>
      </x:c>
      <x:c r="L18" s="8" t="n">
        <x:v>445</x:v>
      </x:c>
      <x:c r="M18" t="str">
        <x:v>-</x:v>
      </x:c>
      <x:c r="N18" t="str">
        <x:v>Poço 01</x:v>
      </x:c>
      <x:c r="O18" t="str">
        <x:v>Não</x:v>
      </x:c>
      <x:c r="P18" t="str">
        <x:v>Dado fictício para demonstração</x:v>
      </x:c>
    </x:row>
    <x:row r="19">
      <x:c r="A19" s="6" t="n">
        <x:v>45675</x:v>
      </x:c>
      <x:c r="B19" t="n">
        <x:v>2025</x:v>
      </x:c>
      <x:c r="C19" t="str">
        <x:v>Jan</x:v>
      </x:c>
      <x:c r="D19" t="str">
        <x:v>2025</x:v>
      </x:c>
      <x:c r="E19" t="str">
        <x:v>Insumos</x:v>
      </x:c>
      <x:c r="F19" t="str">
        <x:v>Insumos</x:v>
      </x:c>
      <x:c r="G19" t="str">
        <x:v>Glifosato</x:v>
      </x:c>
      <x:c r="H19" t="str">
        <x:v>Herbicida</x:v>
      </x:c>
      <x:c r="I19" s="10" t="n">
        <x:v>20.44</x:v>
      </x:c>
      <x:c r="J19" t="str">
        <x:v>LT</x:v>
      </x:c>
      <x:c r="K19" s="8" t="n">
        <x:v>44</x:v>
      </x:c>
      <x:c r="L19" s="8" t="n">
        <x:v>899.36</x:v>
      </x:c>
      <x:c r="M19" t="str">
        <x:v>-</x:v>
      </x:c>
      <x:c r="N19" t="str">
        <x:v>Poço 02</x:v>
      </x:c>
      <x:c r="O19" t="str">
        <x:v>Não</x:v>
      </x:c>
      <x:c r="P19" t="str">
        <x:v>Dado fictício para demonstração</x:v>
      </x:c>
    </x:row>
    <x:row r="20">
      <x:c r="A20" s="6" t="n">
        <x:v>45678</x:v>
      </x:c>
      <x:c r="B20" t="n">
        <x:v>2025</x:v>
      </x:c>
      <x:c r="C20" t="str">
        <x:v>Jan</x:v>
      </x:c>
      <x:c r="D20" t="str">
        <x:v>2025</x:v>
      </x:c>
      <x:c r="E20" t="str">
        <x:v>Insumos</x:v>
      </x:c>
      <x:c r="F20" t="str">
        <x:v>Insumos</x:v>
      </x:c>
      <x:c r="G20" t="str">
        <x:v>Cobre Recop</x:v>
      </x:c>
      <x:c r="H20" t="str">
        <x:v>Cancro</x:v>
      </x:c>
      <x:c r="I20" s="10" t="n">
        <x:v>5.52</x:v>
      </x:c>
      <x:c r="J20" t="str">
        <x:v>KG</x:v>
      </x:c>
      <x:c r="K20" s="8" t="n">
        <x:v>67.5</x:v>
      </x:c>
      <x:c r="L20" s="8" t="n">
        <x:v>372.6</x:v>
      </x:c>
      <x:c r="M20" t="str">
        <x:v>-</x:v>
      </x:c>
      <x:c r="N20" t="str">
        <x:v>Poço 04</x:v>
      </x:c>
      <x:c r="O20" t="str">
        <x:v>Não</x:v>
      </x:c>
      <x:c r="P20" t="str">
        <x:v>Dado fictício para demonstração</x:v>
      </x:c>
    </x:row>
    <x:row r="21">
      <x:c r="A21" s="6" t="n">
        <x:v>45678</x:v>
      </x:c>
      <x:c r="B21" t="n">
        <x:v>2025</x:v>
      </x:c>
      <x:c r="C21" t="str">
        <x:v>Jan</x:v>
      </x:c>
      <x:c r="D21" t="str">
        <x:v>2025</x:v>
      </x:c>
      <x:c r="E21" t="str">
        <x:v>Mão de Obra</x:v>
      </x:c>
      <x:c r="F21" t="str">
        <x:v>Mão de Obra</x:v>
      </x:c>
      <x:c r="G21" t="str">
        <x:v>Desbrota</x:v>
      </x:c>
      <x:c r="H21" t="str">
        <x:v>Desbrota</x:v>
      </x:c>
      <x:c r="I21" s="10" t="n">
        <x:v>7.9</x:v>
      </x:c>
      <x:c r="J21" t="str">
        <x:v>Hora</x:v>
      </x:c>
      <x:c r="K21" s="8" t="n">
        <x:v>24</x:v>
      </x:c>
      <x:c r="L21" s="8" t="n">
        <x:v>189.6</x:v>
      </x:c>
      <x:c r="M21" t="str">
        <x:v>Daniel Costa</x:v>
      </x:c>
      <x:c r="N21" t="str">
        <x:v>Poço 02</x:v>
      </x:c>
      <x:c r="O21" t="str">
        <x:v>Não</x:v>
      </x:c>
      <x:c r="P21" t="str">
        <x:v>Dado fictício para demonstração</x:v>
      </x:c>
    </x:row>
    <x:row r="22">
      <x:c r="A22" s="6" t="n">
        <x:v>45682</x:v>
      </x:c>
      <x:c r="B22" t="n">
        <x:v>2025</x:v>
      </x:c>
      <x:c r="C22" t="str">
        <x:v>Jan</x:v>
      </x:c>
      <x:c r="D22" t="str">
        <x:v>2025</x:v>
      </x:c>
      <x:c r="E22" t="str">
        <x:v>Custos Gerais</x:v>
      </x:c>
      <x:c r="F22" t="str">
        <x:v>Custos Gerais</x:v>
      </x:c>
      <x:c r="G22" t="str">
        <x:v>Combustível</x:v>
      </x:c>
      <x:c r="H22" t="str">
        <x:v>Máquinas</x:v>
      </x:c>
      <x:c r="I22" s="10" t="n">
        <x:v>73.21</x:v>
      </x:c>
      <x:c r="J22" t="str">
        <x:v>LT</x:v>
      </x:c>
      <x:c r="K22" s="8" t="n">
        <x:v>6.2</x:v>
      </x:c>
      <x:c r="L22" s="8" t="n">
        <x:v>453.9</x:v>
      </x:c>
      <x:c r="M22" t="str">
        <x:v>-</x:v>
      </x:c>
      <x:c r="N22" t="str">
        <x:v>Poço 03</x:v>
      </x:c>
      <x:c r="O22" t="str">
        <x:v>Não</x:v>
      </x:c>
      <x:c r="P22" t="str">
        <x:v>Dado fictício para demonstração</x:v>
      </x:c>
    </x:row>
    <x:row r="23">
      <x:c r="A23" s="6" t="n">
        <x:v>45685</x:v>
      </x:c>
      <x:c r="B23" t="n">
        <x:v>2025</x:v>
      </x:c>
      <x:c r="C23" t="str">
        <x:v>Jan</x:v>
      </x:c>
      <x:c r="D23" t="str">
        <x:v>2025</x:v>
      </x:c>
      <x:c r="E23" t="str">
        <x:v>Produção</x:v>
      </x:c>
      <x:c r="F23" t="str">
        <x:v>Produção</x:v>
      </x:c>
      <x:c r="G23" t="str">
        <x:v>Caixas de Limão</x:v>
      </x:c>
      <x:c r="H23" t="str">
        <x:v>Produção mensal</x:v>
      </x:c>
      <x:c r="I23" s="10" t="n">
        <x:v>517</x:v>
      </x:c>
      <x:c r="J23" t="str">
        <x:v>CX</x:v>
      </x:c>
      <x:c r="K23" s="8" t="n">
        <x:v>0</x:v>
      </x:c>
      <x:c r="L23" s="8" t="n">
        <x:v>0</x:v>
      </x:c>
      <x:c r="M23" t="str">
        <x:v>-</x:v>
      </x:c>
      <x:c r="N23" t="str">
        <x:v>Geral</x:v>
      </x:c>
      <x:c r="O23" t="str">
        <x:v>Não</x:v>
      </x:c>
      <x:c r="P23" t="str">
        <x:v>Produção fictícia: 517 caixas</x:v>
      </x:c>
    </x:row>
    <x:row r="24">
      <x:c r="A24" s="6" t="n">
        <x:v>45690</x:v>
      </x:c>
      <x:c r="B24" t="n">
        <x:v>2025</x:v>
      </x:c>
      <x:c r="C24" t="str">
        <x:v>Fev</x:v>
      </x:c>
      <x:c r="D24" t="str">
        <x:v>2025</x:v>
      </x:c>
      <x:c r="E24" t="str">
        <x:v>Insumos</x:v>
      </x:c>
      <x:c r="F24" t="str">
        <x:v>Insumos</x:v>
      </x:c>
      <x:c r="G24" t="str">
        <x:v>Esterco de Gado</x:v>
      </x:c>
      <x:c r="H24" t="str">
        <x:v>Adubação</x:v>
      </x:c>
      <x:c r="I24" s="10" t="n">
        <x:v>4.63</x:v>
      </x:c>
      <x:c r="J24" t="str">
        <x:v>TON</x:v>
      </x:c>
      <x:c r="K24" s="8" t="n">
        <x:v>490</x:v>
      </x:c>
      <x:c r="L24" s="8" t="n">
        <x:v>2268.7</x:v>
      </x:c>
      <x:c r="M24" t="str">
        <x:v>-</x:v>
      </x:c>
      <x:c r="N24" t="str">
        <x:v>Poço 01</x:v>
      </x:c>
      <x:c r="O24" t="str">
        <x:v>Não</x:v>
      </x:c>
      <x:c r="P24" t="str">
        <x:v>Dado fictício para demonstração</x:v>
      </x:c>
    </x:row>
    <x:row r="25">
      <x:c r="A25" s="6" t="n">
        <x:v>45690</x:v>
      </x:c>
      <x:c r="B25" t="n">
        <x:v>2025</x:v>
      </x:c>
      <x:c r="C25" t="str">
        <x:v>Fev</x:v>
      </x:c>
      <x:c r="D25" t="str">
        <x:v>2025</x:v>
      </x:c>
      <x:c r="E25" t="str">
        <x:v>Insumos</x:v>
      </x:c>
      <x:c r="F25" t="str">
        <x:v>Insumos</x:v>
      </x:c>
      <x:c r="G25" t="str">
        <x:v>Glifosato</x:v>
      </x:c>
      <x:c r="H25" t="str">
        <x:v>Herbicida</x:v>
      </x:c>
      <x:c r="I25" s="10" t="n">
        <x:v>6.85</x:v>
      </x:c>
      <x:c r="J25" t="str">
        <x:v>LT</x:v>
      </x:c>
      <x:c r="K25" s="8" t="n">
        <x:v>44</x:v>
      </x:c>
      <x:c r="L25" s="8" t="n">
        <x:v>301.4</x:v>
      </x:c>
      <x:c r="M25" t="str">
        <x:v>-</x:v>
      </x:c>
      <x:c r="N25" t="str">
        <x:v>Poço 01</x:v>
      </x:c>
      <x:c r="O25" t="str">
        <x:v>Não</x:v>
      </x:c>
      <x:c r="P25" t="str">
        <x:v>Dado fictício para demonstração</x:v>
      </x:c>
    </x:row>
    <x:row r="26">
      <x:c r="A26" s="6" t="n">
        <x:v>45691</x:v>
      </x:c>
      <x:c r="B26" t="n">
        <x:v>2025</x:v>
      </x:c>
      <x:c r="C26" t="str">
        <x:v>Fev</x:v>
      </x:c>
      <x:c r="D26" t="str">
        <x:v>2025</x:v>
      </x:c>
      <x:c r="E26" t="str">
        <x:v>Mão de Obra</x:v>
      </x:c>
      <x:c r="F26" t="str">
        <x:v>Mão de Obra</x:v>
      </x:c>
      <x:c r="G26" t="str">
        <x:v>Pulverização</x:v>
      </x:c>
      <x:c r="H26" t="str">
        <x:v>Pulverização</x:v>
      </x:c>
      <x:c r="I26" s="10" t="n">
        <x:v>9.97</x:v>
      </x:c>
      <x:c r="J26" t="str">
        <x:v>Hora</x:v>
      </x:c>
      <x:c r="K26" s="8" t="n">
        <x:v>25</x:v>
      </x:c>
      <x:c r="L26" s="8" t="n">
        <x:v>249.25</x:v>
      </x:c>
      <x:c r="M26" t="str">
        <x:v>Daniel Costa</x:v>
      </x:c>
      <x:c r="N26" t="str">
        <x:v>Poço 01</x:v>
      </x:c>
      <x:c r="O26" t="str">
        <x:v>Não</x:v>
      </x:c>
      <x:c r="P26" t="str">
        <x:v>Dado fictício para demonstração</x:v>
      </x:c>
    </x:row>
    <x:row r="27">
      <x:c r="A27" s="6" t="n">
        <x:v>45692</x:v>
      </x:c>
      <x:c r="B27" t="n">
        <x:v>2025</x:v>
      </x:c>
      <x:c r="C27" t="str">
        <x:v>Fev</x:v>
      </x:c>
      <x:c r="D27" t="str">
        <x:v>2025</x:v>
      </x:c>
      <x:c r="E27" t="str">
        <x:v>Mão de Obra</x:v>
      </x:c>
      <x:c r="F27" t="str">
        <x:v>Mão de Obra</x:v>
      </x:c>
      <x:c r="G27" t="str">
        <x:v>Roçada</x:v>
      </x:c>
      <x:c r="H27" t="str">
        <x:v>Roçada</x:v>
      </x:c>
      <x:c r="I27" s="10" t="n">
        <x:v>9.22</x:v>
      </x:c>
      <x:c r="J27" t="str">
        <x:v>Hora</x:v>
      </x:c>
      <x:c r="K27" s="8" t="n">
        <x:v>22</x:v>
      </x:c>
      <x:c r="L27" s="8" t="n">
        <x:v>202.84</x:v>
      </x:c>
      <x:c r="M27" t="str">
        <x:v>Pedro Oliveira</x:v>
      </x:c>
      <x:c r="N27" t="str">
        <x:v>Poço 03</x:v>
      </x:c>
      <x:c r="O27" t="str">
        <x:v>Não</x:v>
      </x:c>
      <x:c r="P27" t="str">
        <x:v>Dado fictício para demonstração</x:v>
      </x:c>
    </x:row>
    <x:row r="28">
      <x:c r="A28" s="6" t="n">
        <x:v>45693</x:v>
      </x:c>
      <x:c r="B28" t="n">
        <x:v>2025</x:v>
      </x:c>
      <x:c r="C28" t="str">
        <x:v>Fev</x:v>
      </x:c>
      <x:c r="D28" t="str">
        <x:v>2025</x:v>
      </x:c>
      <x:c r="E28" t="str">
        <x:v>Insumos</x:v>
      </x:c>
      <x:c r="F28" t="str">
        <x:v>Insumos</x:v>
      </x:c>
      <x:c r="G28" t="str">
        <x:v>Sulfato de Magnésio</x:v>
      </x:c>
      <x:c r="H28" t="str">
        <x:v>Nutrição</x:v>
      </x:c>
      <x:c r="I28" s="10" t="n">
        <x:v>52.48</x:v>
      </x:c>
      <x:c r="J28" t="str">
        <x:v>KG</x:v>
      </x:c>
      <x:c r="K28" s="8" t="n">
        <x:v>13.5</x:v>
      </x:c>
      <x:c r="L28" s="8" t="n">
        <x:v>708.48</x:v>
      </x:c>
      <x:c r="M28" t="str">
        <x:v>-</x:v>
      </x:c>
      <x:c r="N28" t="str">
        <x:v>Poço 03</x:v>
      </x:c>
      <x:c r="O28" t="str">
        <x:v>Não</x:v>
      </x:c>
      <x:c r="P28" t="str">
        <x:v>Dado fictício para demonstração</x:v>
      </x:c>
    </x:row>
    <x:row r="29">
      <x:c r="A29" s="6" t="n">
        <x:v>45694</x:v>
      </x:c>
      <x:c r="B29" t="n">
        <x:v>2025</x:v>
      </x:c>
      <x:c r="C29" t="str">
        <x:v>Fev</x:v>
      </x:c>
      <x:c r="D29" t="str">
        <x:v>2025</x:v>
      </x:c>
      <x:c r="E29" t="str">
        <x:v>Insumos</x:v>
      </x:c>
      <x:c r="F29" t="str">
        <x:v>Insumos</x:v>
      </x:c>
      <x:c r="G29" t="str">
        <x:v>Fosfato Monoamônico</x:v>
      </x:c>
      <x:c r="H29" t="str">
        <x:v>Nutrição</x:v>
      </x:c>
      <x:c r="I29" s="10" t="n">
        <x:v>60.46</x:v>
      </x:c>
      <x:c r="J29" t="str">
        <x:v>KG</x:v>
      </x:c>
      <x:c r="K29" s="8" t="n">
        <x:v>19.2</x:v>
      </x:c>
      <x:c r="L29" s="8" t="n">
        <x:v>1160.83</x:v>
      </x:c>
      <x:c r="M29" t="str">
        <x:v>-</x:v>
      </x:c>
      <x:c r="N29" t="str">
        <x:v>Poço 04</x:v>
      </x:c>
      <x:c r="O29" t="str">
        <x:v>Não</x:v>
      </x:c>
      <x:c r="P29" t="str">
        <x:v>Dado fictício para demonstração</x:v>
      </x:c>
    </x:row>
    <x:row r="30">
      <x:c r="A30" s="6" t="n">
        <x:v>45694</x:v>
      </x:c>
      <x:c r="B30" t="n">
        <x:v>2025</x:v>
      </x:c>
      <x:c r="C30" t="str">
        <x:v>Fev</x:v>
      </x:c>
      <x:c r="D30" t="str">
        <x:v>2025</x:v>
      </x:c>
      <x:c r="E30" t="str">
        <x:v>Mão de Obra</x:v>
      </x:c>
      <x:c r="F30" t="str">
        <x:v>Mão de Obra</x:v>
      </x:c>
      <x:c r="G30" t="str">
        <x:v>Pulverização</x:v>
      </x:c>
      <x:c r="H30" t="str">
        <x:v>Pulverização</x:v>
      </x:c>
      <x:c r="I30" s="10" t="n">
        <x:v>9.91</x:v>
      </x:c>
      <x:c r="J30" t="str">
        <x:v>Hora</x:v>
      </x:c>
      <x:c r="K30" s="8" t="n">
        <x:v>25</x:v>
      </x:c>
      <x:c r="L30" s="8" t="n">
        <x:v>247.75</x:v>
      </x:c>
      <x:c r="M30" t="str">
        <x:v>Lucas Pereira</x:v>
      </x:c>
      <x:c r="N30" t="str">
        <x:v>Poço 02</x:v>
      </x:c>
      <x:c r="O30" t="str">
        <x:v>Não</x:v>
      </x:c>
      <x:c r="P30" t="str">
        <x:v>Dado fictício para demonstração</x:v>
      </x:c>
    </x:row>
    <x:row r="31">
      <x:c r="A31" s="6" t="n">
        <x:v>45696</x:v>
      </x:c>
      <x:c r="B31" t="n">
        <x:v>2025</x:v>
      </x:c>
      <x:c r="C31" t="str">
        <x:v>Fev</x:v>
      </x:c>
      <x:c r="D31" t="str">
        <x:v>2025</x:v>
      </x:c>
      <x:c r="E31" t="str">
        <x:v>Insumos</x:v>
      </x:c>
      <x:c r="F31" t="str">
        <x:v>Insumos</x:v>
      </x:c>
      <x:c r="G31" t="str">
        <x:v>Esterco de Gado</x:v>
      </x:c>
      <x:c r="H31" t="str">
        <x:v>Adubação</x:v>
      </x:c>
      <x:c r="I31" s="10" t="n">
        <x:v>5.27</x:v>
      </x:c>
      <x:c r="J31" t="str">
        <x:v>TON</x:v>
      </x:c>
      <x:c r="K31" s="8" t="n">
        <x:v>490</x:v>
      </x:c>
      <x:c r="L31" s="8" t="n">
        <x:v>2582.3</x:v>
      </x:c>
      <x:c r="M31" t="str">
        <x:v>-</x:v>
      </x:c>
      <x:c r="N31" t="str">
        <x:v>Poço 01</x:v>
      </x:c>
      <x:c r="O31" t="str">
        <x:v>Não</x:v>
      </x:c>
      <x:c r="P31" t="str">
        <x:v>Dado fictício para demonstração</x:v>
      </x:c>
    </x:row>
    <x:row r="32">
      <x:c r="A32" s="6" t="n">
        <x:v>45698</x:v>
      </x:c>
      <x:c r="B32" t="n">
        <x:v>2025</x:v>
      </x:c>
      <x:c r="C32" t="str">
        <x:v>Fev</x:v>
      </x:c>
      <x:c r="D32" t="str">
        <x:v>2025</x:v>
      </x:c>
      <x:c r="E32" t="str">
        <x:v>Mão de Obra</x:v>
      </x:c>
      <x:c r="F32" t="str">
        <x:v>Mão de Obra</x:v>
      </x:c>
      <x:c r="G32" t="str">
        <x:v>Irrigação</x:v>
      </x:c>
      <x:c r="H32" t="str">
        <x:v>Irrigação</x:v>
      </x:c>
      <x:c r="I32" s="10" t="n">
        <x:v>9.36</x:v>
      </x:c>
      <x:c r="J32" t="str">
        <x:v>Hora</x:v>
      </x:c>
      <x:c r="K32" s="8" t="n">
        <x:v>23</x:v>
      </x:c>
      <x:c r="L32" s="8" t="n">
        <x:v>215.28</x:v>
      </x:c>
      <x:c r="M32" t="str">
        <x:v>Antônio Carlos</x:v>
      </x:c>
      <x:c r="N32" t="str">
        <x:v>Poço 03</x:v>
      </x:c>
      <x:c r="O32" t="str">
        <x:v>Não</x:v>
      </x:c>
      <x:c r="P32" t="str">
        <x:v>Dado fictício para demonstração</x:v>
      </x:c>
    </x:row>
    <x:row r="33">
      <x:c r="A33" s="6" t="n">
        <x:v>45699</x:v>
      </x:c>
      <x:c r="B33" t="n">
        <x:v>2025</x:v>
      </x:c>
      <x:c r="C33" t="str">
        <x:v>Fev</x:v>
      </x:c>
      <x:c r="D33" t="str">
        <x:v>2025</x:v>
      </x:c>
      <x:c r="E33" t="str">
        <x:v>Insumos</x:v>
      </x:c>
      <x:c r="F33" t="str">
        <x:v>Insumos</x:v>
      </x:c>
      <x:c r="G33" t="str">
        <x:v>Glifosato</x:v>
      </x:c>
      <x:c r="H33" t="str">
        <x:v>Herbicida</x:v>
      </x:c>
      <x:c r="I33" s="10" t="n">
        <x:v>9.85</x:v>
      </x:c>
      <x:c r="J33" t="str">
        <x:v>LT</x:v>
      </x:c>
      <x:c r="K33" s="8" t="n">
        <x:v>44</x:v>
      </x:c>
      <x:c r="L33" s="8" t="n">
        <x:v>433.4</x:v>
      </x:c>
      <x:c r="M33" t="str">
        <x:v>-</x:v>
      </x:c>
      <x:c r="N33" t="str">
        <x:v>Poço 03</x:v>
      </x:c>
      <x:c r="O33" t="str">
        <x:v>Não</x:v>
      </x:c>
      <x:c r="P33" t="str">
        <x:v>Dado fictício para demonstração</x:v>
      </x:c>
    </x:row>
    <x:row r="34">
      <x:c r="A34" s="6" t="n">
        <x:v>45699</x:v>
      </x:c>
      <x:c r="B34" t="n">
        <x:v>2025</x:v>
      </x:c>
      <x:c r="C34" t="str">
        <x:v>Fev</x:v>
      </x:c>
      <x:c r="D34" t="str">
        <x:v>2025</x:v>
      </x:c>
      <x:c r="E34" t="str">
        <x:v>Mão de Obra</x:v>
      </x:c>
      <x:c r="F34" t="str">
        <x:v>Mão de Obra</x:v>
      </x:c>
      <x:c r="G34" t="str">
        <x:v>Colheita</x:v>
      </x:c>
      <x:c r="H34" t="str">
        <x:v>Colheita</x:v>
      </x:c>
      <x:c r="I34" s="10" t="n">
        <x:v>10.15</x:v>
      </x:c>
      <x:c r="J34" t="str">
        <x:v>Hora</x:v>
      </x:c>
      <x:c r="K34" s="8" t="n">
        <x:v>28</x:v>
      </x:c>
      <x:c r="L34" s="8" t="n">
        <x:v>284.2</x:v>
      </x:c>
      <x:c r="M34" t="str">
        <x:v>Rogério Lima</x:v>
      </x:c>
      <x:c r="N34" t="str">
        <x:v>Poço 04</x:v>
      </x:c>
      <x:c r="O34" t="str">
        <x:v>Não</x:v>
      </x:c>
      <x:c r="P34" t="str">
        <x:v>Dado fictício para demonstração</x:v>
      </x:c>
    </x:row>
    <x:row r="35">
      <x:c r="A35" s="6" t="n">
        <x:v>45699</x:v>
      </x:c>
      <x:c r="B35" t="n">
        <x:v>2025</x:v>
      </x:c>
      <x:c r="C35" t="str">
        <x:v>Fev</x:v>
      </x:c>
      <x:c r="D35" t="str">
        <x:v>2025</x:v>
      </x:c>
      <x:c r="E35" t="str">
        <x:v>Mão de Obra</x:v>
      </x:c>
      <x:c r="F35" t="str">
        <x:v>Mão de Obra</x:v>
      </x:c>
      <x:c r="G35" t="str">
        <x:v>Colheita</x:v>
      </x:c>
      <x:c r="H35" t="str">
        <x:v>Colheita</x:v>
      </x:c>
      <x:c r="I35" s="10" t="n">
        <x:v>14.31</x:v>
      </x:c>
      <x:c r="J35" t="str">
        <x:v>Hora</x:v>
      </x:c>
      <x:c r="K35" s="8" t="n">
        <x:v>28</x:v>
      </x:c>
      <x:c r="L35" s="8" t="n">
        <x:v>400.68</x:v>
      </x:c>
      <x:c r="M35" t="str">
        <x:v>Daniel Costa</x:v>
      </x:c>
      <x:c r="N35" t="str">
        <x:v>Poço 02</x:v>
      </x:c>
      <x:c r="O35" t="str">
        <x:v>Não</x:v>
      </x:c>
      <x:c r="P35" t="str">
        <x:v>Dado fictício para demonstração</x:v>
      </x:c>
    </x:row>
    <x:row r="36">
      <x:c r="A36" s="6" t="n">
        <x:v>45703</x:v>
      </x:c>
      <x:c r="B36" t="n">
        <x:v>2025</x:v>
      </x:c>
      <x:c r="C36" t="str">
        <x:v>Fev</x:v>
      </x:c>
      <x:c r="D36" t="str">
        <x:v>2025</x:v>
      </x:c>
      <x:c r="E36" t="str">
        <x:v>Insumos</x:v>
      </x:c>
      <x:c r="F36" t="str">
        <x:v>Insumos</x:v>
      </x:c>
      <x:c r="G36" t="str">
        <x:v>Sulfato de Magnésio</x:v>
      </x:c>
      <x:c r="H36" t="str">
        <x:v>Nutrição</x:v>
      </x:c>
      <x:c r="I36" s="10" t="n">
        <x:v>54.97</x:v>
      </x:c>
      <x:c r="J36" t="str">
        <x:v>KG</x:v>
      </x:c>
      <x:c r="K36" s="8" t="n">
        <x:v>13.5</x:v>
      </x:c>
      <x:c r="L36" s="8" t="n">
        <x:v>742.1</x:v>
      </x:c>
      <x:c r="M36" t="str">
        <x:v>-</x:v>
      </x:c>
      <x:c r="N36" t="str">
        <x:v>Poço 04</x:v>
      </x:c>
      <x:c r="O36" t="str">
        <x:v>Não</x:v>
      </x:c>
      <x:c r="P36" t="str">
        <x:v>Dado fictício para demonstração</x:v>
      </x:c>
    </x:row>
    <x:row r="37">
      <x:c r="A37" s="6" t="n">
        <x:v>45703</x:v>
      </x:c>
      <x:c r="B37" t="n">
        <x:v>2025</x:v>
      </x:c>
      <x:c r="C37" t="str">
        <x:v>Fev</x:v>
      </x:c>
      <x:c r="D37" t="str">
        <x:v>2025</x:v>
      </x:c>
      <x:c r="E37" t="str">
        <x:v>Mão de Obra</x:v>
      </x:c>
      <x:c r="F37" t="str">
        <x:v>Mão de Obra</x:v>
      </x:c>
      <x:c r="G37" t="str">
        <x:v>Aplicação de herbicida</x:v>
      </x:c>
      <x:c r="H37" t="str">
        <x:v>Herbicida</x:v>
      </x:c>
      <x:c r="I37" s="10" t="n">
        <x:v>9.95</x:v>
      </x:c>
      <x:c r="J37" t="str">
        <x:v>Hora</x:v>
      </x:c>
      <x:c r="K37" s="8" t="n">
        <x:v>26</x:v>
      </x:c>
      <x:c r="L37" s="8" t="n">
        <x:v>258.7</x:v>
      </x:c>
      <x:c r="M37" t="str">
        <x:v>Rogério Lima</x:v>
      </x:c>
      <x:c r="N37" t="str">
        <x:v>Poço 02</x:v>
      </x:c>
      <x:c r="O37" t="str">
        <x:v>Não</x:v>
      </x:c>
      <x:c r="P37" t="str">
        <x:v>Dado fictício para demonstração</x:v>
      </x:c>
    </x:row>
    <x:row r="38">
      <x:c r="A38" s="6" t="n">
        <x:v>45703</x:v>
      </x:c>
      <x:c r="B38" t="n">
        <x:v>2025</x:v>
      </x:c>
      <x:c r="C38" t="str">
        <x:v>Fev</x:v>
      </x:c>
      <x:c r="D38" t="str">
        <x:v>2025</x:v>
      </x:c>
      <x:c r="E38" t="str">
        <x:v>Mão de Obra</x:v>
      </x:c>
      <x:c r="F38" t="str">
        <x:v>Mão de Obra</x:v>
      </x:c>
      <x:c r="G38" t="str">
        <x:v>Aplicação de herbicida</x:v>
      </x:c>
      <x:c r="H38" t="str">
        <x:v>Herbicida</x:v>
      </x:c>
      <x:c r="I38" s="10" t="n">
        <x:v>6.06</x:v>
      </x:c>
      <x:c r="J38" t="str">
        <x:v>Hora</x:v>
      </x:c>
      <x:c r="K38" s="8" t="n">
        <x:v>26</x:v>
      </x:c>
      <x:c r="L38" s="8" t="n">
        <x:v>157.56</x:v>
      </x:c>
      <x:c r="M38" t="str">
        <x:v>Daniel Costa</x:v>
      </x:c>
      <x:c r="N38" t="str">
        <x:v>Poço 04</x:v>
      </x:c>
      <x:c r="O38" t="str">
        <x:v>Não</x:v>
      </x:c>
      <x:c r="P38" t="str">
        <x:v>Dado fictício para demonstração</x:v>
      </x:c>
    </x:row>
    <x:row r="39">
      <x:c r="A39" s="6" t="n">
        <x:v>45704</x:v>
      </x:c>
      <x:c r="B39" t="n">
        <x:v>2025</x:v>
      </x:c>
      <x:c r="C39" t="str">
        <x:v>Fev</x:v>
      </x:c>
      <x:c r="D39" t="str">
        <x:v>2025</x:v>
      </x:c>
      <x:c r="E39" t="str">
        <x:v>Insumos</x:v>
      </x:c>
      <x:c r="F39" t="str">
        <x:v>Insumos</x:v>
      </x:c>
      <x:c r="G39" t="str">
        <x:v>Adubo 20.00.20</x:v>
      </x:c>
      <x:c r="H39" t="str">
        <x:v>Adubação</x:v>
      </x:c>
      <x:c r="I39" s="10" t="n">
        <x:v>72.86</x:v>
      </x:c>
      <x:c r="J39" t="str">
        <x:v>KG</x:v>
      </x:c>
      <x:c r="K39" s="8" t="n">
        <x:v>25</x:v>
      </x:c>
      <x:c r="L39" s="8" t="n">
        <x:v>1821.5</x:v>
      </x:c>
      <x:c r="M39" t="str">
        <x:v>-</x:v>
      </x:c>
      <x:c r="N39" t="str">
        <x:v>Poço 03</x:v>
      </x:c>
      <x:c r="O39" t="str">
        <x:v>Não</x:v>
      </x:c>
      <x:c r="P39" t="str">
        <x:v>Dado fictício para demonstração</x:v>
      </x:c>
    </x:row>
    <x:row r="40">
      <x:c r="A40" s="6" t="n">
        <x:v>45705</x:v>
      </x:c>
      <x:c r="B40" t="n">
        <x:v>2025</x:v>
      </x:c>
      <x:c r="C40" t="str">
        <x:v>Fev</x:v>
      </x:c>
      <x:c r="D40" t="str">
        <x:v>2025</x:v>
      </x:c>
      <x:c r="E40" t="str">
        <x:v>Insumos</x:v>
      </x:c>
      <x:c r="F40" t="str">
        <x:v>Insumos</x:v>
      </x:c>
      <x:c r="G40" t="str">
        <x:v>Fosfato Monoamônico</x:v>
      </x:c>
      <x:c r="H40" t="str">
        <x:v>Nutrição</x:v>
      </x:c>
      <x:c r="I40" s="10" t="n">
        <x:v>56.13</x:v>
      </x:c>
      <x:c r="J40" t="str">
        <x:v>KG</x:v>
      </x:c>
      <x:c r="K40" s="8" t="n">
        <x:v>19.2</x:v>
      </x:c>
      <x:c r="L40" s="8" t="n">
        <x:v>1077.7</x:v>
      </x:c>
      <x:c r="M40" t="str">
        <x:v>-</x:v>
      </x:c>
      <x:c r="N40" t="str">
        <x:v>Poço 01</x:v>
      </x:c>
      <x:c r="O40" t="str">
        <x:v>Não</x:v>
      </x:c>
      <x:c r="P40" t="str">
        <x:v>Dado fictício para demonstração</x:v>
      </x:c>
    </x:row>
    <x:row r="41">
      <x:c r="A41" s="6" t="n">
        <x:v>45706</x:v>
      </x:c>
      <x:c r="B41" t="n">
        <x:v>2025</x:v>
      </x:c>
      <x:c r="C41" t="str">
        <x:v>Fev</x:v>
      </x:c>
      <x:c r="D41" t="str">
        <x:v>2025</x:v>
      </x:c>
      <x:c r="E41" t="str">
        <x:v>Insumos</x:v>
      </x:c>
      <x:c r="F41" t="str">
        <x:v>Insumos</x:v>
      </x:c>
      <x:c r="G41" t="str">
        <x:v>Sulfato de Magnésio</x:v>
      </x:c>
      <x:c r="H41" t="str">
        <x:v>Nutrição</x:v>
      </x:c>
      <x:c r="I41" s="10" t="n">
        <x:v>49.39</x:v>
      </x:c>
      <x:c r="J41" t="str">
        <x:v>KG</x:v>
      </x:c>
      <x:c r="K41" s="8" t="n">
        <x:v>13.5</x:v>
      </x:c>
      <x:c r="L41" s="8" t="n">
        <x:v>666.76</x:v>
      </x:c>
      <x:c r="M41" t="str">
        <x:v>-</x:v>
      </x:c>
      <x:c r="N41" t="str">
        <x:v>Poço 02</x:v>
      </x:c>
      <x:c r="O41" t="str">
        <x:v>Não</x:v>
      </x:c>
      <x:c r="P41" t="str">
        <x:v>Dado fictício para demonstração</x:v>
      </x:c>
    </x:row>
    <x:row r="42">
      <x:c r="A42" s="6" t="n">
        <x:v>45706</x:v>
      </x:c>
      <x:c r="B42" t="n">
        <x:v>2025</x:v>
      </x:c>
      <x:c r="C42" t="str">
        <x:v>Fev</x:v>
      </x:c>
      <x:c r="D42" t="str">
        <x:v>2025</x:v>
      </x:c>
      <x:c r="E42" t="str">
        <x:v>Insumos</x:v>
      </x:c>
      <x:c r="F42" t="str">
        <x:v>Insumos</x:v>
      </x:c>
      <x:c r="G42" t="str">
        <x:v>Fosfato Monoamônico</x:v>
      </x:c>
      <x:c r="H42" t="str">
        <x:v>Nutrição</x:v>
      </x:c>
      <x:c r="I42" s="10" t="n">
        <x:v>25.92</x:v>
      </x:c>
      <x:c r="J42" t="str">
        <x:v>KG</x:v>
      </x:c>
      <x:c r="K42" s="8" t="n">
        <x:v>19.2</x:v>
      </x:c>
      <x:c r="L42" s="8" t="n">
        <x:v>497.66</x:v>
      </x:c>
      <x:c r="M42" t="str">
        <x:v>-</x:v>
      </x:c>
      <x:c r="N42" t="str">
        <x:v>Poço 04</x:v>
      </x:c>
      <x:c r="O42" t="str">
        <x:v>Não</x:v>
      </x:c>
      <x:c r="P42" t="str">
        <x:v>Dado fictício para demonstração</x:v>
      </x:c>
    </x:row>
    <x:row r="43">
      <x:c r="A43" s="6" t="n">
        <x:v>45708</x:v>
      </x:c>
      <x:c r="B43" t="n">
        <x:v>2025</x:v>
      </x:c>
      <x:c r="C43" t="str">
        <x:v>Fev</x:v>
      </x:c>
      <x:c r="D43" t="str">
        <x:v>2025</x:v>
      </x:c>
      <x:c r="E43" t="str">
        <x:v>Mão de Obra</x:v>
      </x:c>
      <x:c r="F43" t="str">
        <x:v>Mão de Obra</x:v>
      </x:c>
      <x:c r="G43" t="str">
        <x:v>Capina</x:v>
      </x:c>
      <x:c r="H43" t="str">
        <x:v>Capina</x:v>
      </x:c>
      <x:c r="I43" s="10" t="n">
        <x:v>15.03</x:v>
      </x:c>
      <x:c r="J43" t="str">
        <x:v>Hora</x:v>
      </x:c>
      <x:c r="K43" s="8" t="n">
        <x:v>22</x:v>
      </x:c>
      <x:c r="L43" s="8" t="n">
        <x:v>330.66</x:v>
      </x:c>
      <x:c r="M43" t="str">
        <x:v>Pedro Oliveira</x:v>
      </x:c>
      <x:c r="N43" t="str">
        <x:v>Poço 03</x:v>
      </x:c>
      <x:c r="O43" t="str">
        <x:v>Não</x:v>
      </x:c>
      <x:c r="P43" t="str">
        <x:v>Dado fictício para demonstração</x:v>
      </x:c>
    </x:row>
    <x:row r="44">
      <x:c r="A44" s="6" t="n">
        <x:v>45709</x:v>
      </x:c>
      <x:c r="B44" t="n">
        <x:v>2025</x:v>
      </x:c>
      <x:c r="C44" t="str">
        <x:v>Fev</x:v>
      </x:c>
      <x:c r="D44" t="str">
        <x:v>2025</x:v>
      </x:c>
      <x:c r="E44" t="str">
        <x:v>Mão de Obra</x:v>
      </x:c>
      <x:c r="F44" t="str">
        <x:v>Mão de Obra</x:v>
      </x:c>
      <x:c r="G44" t="str">
        <x:v>Desbrota</x:v>
      </x:c>
      <x:c r="H44" t="str">
        <x:v>Desbrota</x:v>
      </x:c>
      <x:c r="I44" s="10" t="n">
        <x:v>10.9</x:v>
      </x:c>
      <x:c r="J44" t="str">
        <x:v>Hora</x:v>
      </x:c>
      <x:c r="K44" s="8" t="n">
        <x:v>24</x:v>
      </x:c>
      <x:c r="L44" s="8" t="n">
        <x:v>261.6</x:v>
      </x:c>
      <x:c r="M44" t="str">
        <x:v>Rogério Lima</x:v>
      </x:c>
      <x:c r="N44" t="str">
        <x:v>Poço 01</x:v>
      </x:c>
      <x:c r="O44" t="str">
        <x:v>Não</x:v>
      </x:c>
      <x:c r="P44" t="str">
        <x:v>Dado fictício para demonstração</x:v>
      </x:c>
    </x:row>
    <x:row r="45">
      <x:c r="A45" s="6" t="n">
        <x:v>45710</x:v>
      </x:c>
      <x:c r="B45" t="n">
        <x:v>2025</x:v>
      </x:c>
      <x:c r="C45" t="str">
        <x:v>Fev</x:v>
      </x:c>
      <x:c r="D45" t="str">
        <x:v>2025</x:v>
      </x:c>
      <x:c r="E45" t="str">
        <x:v>Custos Gerais</x:v>
      </x:c>
      <x:c r="F45" t="str">
        <x:v>Custos Gerais</x:v>
      </x:c>
      <x:c r="G45" t="str">
        <x:v>Energia irrigação</x:v>
      </x:c>
      <x:c r="H45" t="str">
        <x:v>Irrigação</x:v>
      </x:c>
      <x:c r="I45" s="10" t="n">
        <x:v>832.52</x:v>
      </x:c>
      <x:c r="J45" t="str">
        <x:v>KWH</x:v>
      </x:c>
      <x:c r="K45" s="8" t="n">
        <x:v>0.95</x:v>
      </x:c>
      <x:c r="L45" s="8" t="n">
        <x:v>790.89</x:v>
      </x:c>
      <x:c r="M45" t="str">
        <x:v>-</x:v>
      </x:c>
      <x:c r="N45" t="str">
        <x:v>Poço 04</x:v>
      </x:c>
      <x:c r="O45" t="str">
        <x:v>Não</x:v>
      </x:c>
      <x:c r="P45" t="str">
        <x:v>Dado fictício para demonstração</x:v>
      </x:c>
    </x:row>
    <x:row r="46">
      <x:c r="A46" s="6" t="n">
        <x:v>45712</x:v>
      </x:c>
      <x:c r="B46" t="n">
        <x:v>2025</x:v>
      </x:c>
      <x:c r="C46" t="str">
        <x:v>Fev</x:v>
      </x:c>
      <x:c r="D46" t="str">
        <x:v>2025</x:v>
      </x:c>
      <x:c r="E46" t="str">
        <x:v>Mão de Obra</x:v>
      </x:c>
      <x:c r="F46" t="str">
        <x:v>Mão de Obra</x:v>
      </x:c>
      <x:c r="G46" t="str">
        <x:v>Irrigação</x:v>
      </x:c>
      <x:c r="H46" t="str">
        <x:v>Irrigação</x:v>
      </x:c>
      <x:c r="I46" s="10" t="n">
        <x:v>6.58</x:v>
      </x:c>
      <x:c r="J46" t="str">
        <x:v>Hora</x:v>
      </x:c>
      <x:c r="K46" s="8" t="n">
        <x:v>23</x:v>
      </x:c>
      <x:c r="L46" s="8" t="n">
        <x:v>151.34</x:v>
      </x:c>
      <x:c r="M46" t="str">
        <x:v>José da Silva</x:v>
      </x:c>
      <x:c r="N46" t="str">
        <x:v>Poço 02</x:v>
      </x:c>
      <x:c r="O46" t="str">
        <x:v>Não</x:v>
      </x:c>
      <x:c r="P46" t="str">
        <x:v>Dado fictício para demonstração</x:v>
      </x:c>
    </x:row>
    <x:row r="47">
      <x:c r="A47" s="6" t="n">
        <x:v>45712</x:v>
      </x:c>
      <x:c r="B47" t="n">
        <x:v>2025</x:v>
      </x:c>
      <x:c r="C47" t="str">
        <x:v>Fev</x:v>
      </x:c>
      <x:c r="D47" t="str">
        <x:v>2025</x:v>
      </x:c>
      <x:c r="E47" t="str">
        <x:v>Custos Gerais</x:v>
      </x:c>
      <x:c r="F47" t="str">
        <x:v>Custos Gerais</x:v>
      </x:c>
      <x:c r="G47" t="str">
        <x:v>Peças e reparos</x:v>
      </x:c>
      <x:c r="H47" t="str">
        <x:v>Manutenção</x:v>
      </x:c>
      <x:c r="I47" s="10" t="n">
        <x:v>2.34</x:v>
      </x:c>
      <x:c r="J47" t="str">
        <x:v>UN</x:v>
      </x:c>
      <x:c r="K47" s="8" t="n">
        <x:v>280</x:v>
      </x:c>
      <x:c r="L47" s="8" t="n">
        <x:v>655.2</x:v>
      </x:c>
      <x:c r="M47" t="str">
        <x:v>-</x:v>
      </x:c>
      <x:c r="N47" t="str">
        <x:v>Poço 02</x:v>
      </x:c>
      <x:c r="O47" t="str">
        <x:v>Não</x:v>
      </x:c>
      <x:c r="P47" t="str">
        <x:v>Dado fictício para demonstração</x:v>
      </x:c>
    </x:row>
    <x:row r="48">
      <x:c r="A48" s="6" t="n">
        <x:v>45716</x:v>
      </x:c>
      <x:c r="B48" t="n">
        <x:v>2025</x:v>
      </x:c>
      <x:c r="C48" t="str">
        <x:v>Fev</x:v>
      </x:c>
      <x:c r="D48" t="str">
        <x:v>2025</x:v>
      </x:c>
      <x:c r="E48" t="str">
        <x:v>Produção</x:v>
      </x:c>
      <x:c r="F48" t="str">
        <x:v>Produção</x:v>
      </x:c>
      <x:c r="G48" t="str">
        <x:v>Caixas de Limão</x:v>
      </x:c>
      <x:c r="H48" t="str">
        <x:v>Produção mensal</x:v>
      </x:c>
      <x:c r="I48" s="10" t="n">
        <x:v>486</x:v>
      </x:c>
      <x:c r="J48" t="str">
        <x:v>CX</x:v>
      </x:c>
      <x:c r="K48" s="8" t="n">
        <x:v>0</x:v>
      </x:c>
      <x:c r="L48" s="8" t="n">
        <x:v>0</x:v>
      </x:c>
      <x:c r="M48" t="str">
        <x:v>-</x:v>
      </x:c>
      <x:c r="N48" t="str">
        <x:v>Geral</x:v>
      </x:c>
      <x:c r="O48" t="str">
        <x:v>Não</x:v>
      </x:c>
      <x:c r="P48" t="str">
        <x:v>Produção fictícia: 486 caixas</x:v>
      </x:c>
    </x:row>
    <x:row r="49">
      <x:c r="A49" s="6" t="n">
        <x:v>45718</x:v>
      </x:c>
      <x:c r="B49" t="n">
        <x:v>2025</x:v>
      </x:c>
      <x:c r="C49" t="str">
        <x:v>Mar</x:v>
      </x:c>
      <x:c r="D49" t="str">
        <x:v>2025</x:v>
      </x:c>
      <x:c r="E49" t="str">
        <x:v>Mão de Obra</x:v>
      </x:c>
      <x:c r="F49" t="str">
        <x:v>Mão de Obra</x:v>
      </x:c>
      <x:c r="G49" t="str">
        <x:v>Colheita</x:v>
      </x:c>
      <x:c r="H49" t="str">
        <x:v>Colheita</x:v>
      </x:c>
      <x:c r="I49" s="10" t="n">
        <x:v>17.08</x:v>
      </x:c>
      <x:c r="J49" t="str">
        <x:v>Hora</x:v>
      </x:c>
      <x:c r="K49" s="8" t="n">
        <x:v>28</x:v>
      </x:c>
      <x:c r="L49" s="8" t="n">
        <x:v>478.24</x:v>
      </x:c>
      <x:c r="M49" t="str">
        <x:v>José da Silva</x:v>
      </x:c>
      <x:c r="N49" t="str">
        <x:v>Poço 01</x:v>
      </x:c>
      <x:c r="O49" t="str">
        <x:v>Não</x:v>
      </x:c>
      <x:c r="P49" t="str">
        <x:v>Dado fictício para demonstração</x:v>
      </x:c>
    </x:row>
    <x:row r="50">
      <x:c r="A50" s="6" t="n">
        <x:v>45719</x:v>
      </x:c>
      <x:c r="B50" t="n">
        <x:v>2025</x:v>
      </x:c>
      <x:c r="C50" t="str">
        <x:v>Mar</x:v>
      </x:c>
      <x:c r="D50" t="str">
        <x:v>2025</x:v>
      </x:c>
      <x:c r="E50" t="str">
        <x:v>Insumos</x:v>
      </x:c>
      <x:c r="F50" t="str">
        <x:v>Insumos</x:v>
      </x:c>
      <x:c r="G50" t="str">
        <x:v>Esterco de Gado</x:v>
      </x:c>
      <x:c r="H50" t="str">
        <x:v>Adubação</x:v>
      </x:c>
      <x:c r="I50" s="10" t="n">
        <x:v>4.09</x:v>
      </x:c>
      <x:c r="J50" t="str">
        <x:v>TON</x:v>
      </x:c>
      <x:c r="K50" s="8" t="n">
        <x:v>490</x:v>
      </x:c>
      <x:c r="L50" s="8" t="n">
        <x:v>2004.1</x:v>
      </x:c>
      <x:c r="M50" t="str">
        <x:v>-</x:v>
      </x:c>
      <x:c r="N50" t="str">
        <x:v>Poço 03</x:v>
      </x:c>
      <x:c r="O50" t="str">
        <x:v>Não</x:v>
      </x:c>
      <x:c r="P50" t="str">
        <x:v>Dado fictício para demonstração</x:v>
      </x:c>
    </x:row>
    <x:row r="51">
      <x:c r="A51" s="6" t="n">
        <x:v>45723</x:v>
      </x:c>
      <x:c r="B51" t="n">
        <x:v>2025</x:v>
      </x:c>
      <x:c r="C51" t="str">
        <x:v>Mar</x:v>
      </x:c>
      <x:c r="D51" t="str">
        <x:v>2025</x:v>
      </x:c>
      <x:c r="E51" t="str">
        <x:v>Insumos</x:v>
      </x:c>
      <x:c r="F51" t="str">
        <x:v>Insumos</x:v>
      </x:c>
      <x:c r="G51" t="str">
        <x:v>Sulfato de Magnésio</x:v>
      </x:c>
      <x:c r="H51" t="str">
        <x:v>Nutrição</x:v>
      </x:c>
      <x:c r="I51" s="10" t="n">
        <x:v>56.59</x:v>
      </x:c>
      <x:c r="J51" t="str">
        <x:v>KG</x:v>
      </x:c>
      <x:c r="K51" s="8" t="n">
        <x:v>13.5</x:v>
      </x:c>
      <x:c r="L51" s="8" t="n">
        <x:v>763.97</x:v>
      </x:c>
      <x:c r="M51" t="str">
        <x:v>-</x:v>
      </x:c>
      <x:c r="N51" t="str">
        <x:v>Poço 04</x:v>
      </x:c>
      <x:c r="O51" t="str">
        <x:v>Não</x:v>
      </x:c>
      <x:c r="P51" t="str">
        <x:v>Dado fictício para demonstração</x:v>
      </x:c>
    </x:row>
    <x:row r="52">
      <x:c r="A52" s="6" t="n">
        <x:v>45723</x:v>
      </x:c>
      <x:c r="B52" t="n">
        <x:v>2025</x:v>
      </x:c>
      <x:c r="C52" t="str">
        <x:v>Mar</x:v>
      </x:c>
      <x:c r="D52" t="str">
        <x:v>2025</x:v>
      </x:c>
      <x:c r="E52" t="str">
        <x:v>Mão de Obra</x:v>
      </x:c>
      <x:c r="F52" t="str">
        <x:v>Mão de Obra</x:v>
      </x:c>
      <x:c r="G52" t="str">
        <x:v>Roçada</x:v>
      </x:c>
      <x:c r="H52" t="str">
        <x:v>Roçada</x:v>
      </x:c>
      <x:c r="I52" s="10" t="n">
        <x:v>14.18</x:v>
      </x:c>
      <x:c r="J52" t="str">
        <x:v>Hora</x:v>
      </x:c>
      <x:c r="K52" s="8" t="n">
        <x:v>22</x:v>
      </x:c>
      <x:c r="L52" s="8" t="n">
        <x:v>311.96</x:v>
      </x:c>
      <x:c r="M52" t="str">
        <x:v>Pedro Oliveira</x:v>
      </x:c>
      <x:c r="N52" t="str">
        <x:v>Poço 03</x:v>
      </x:c>
      <x:c r="O52" t="str">
        <x:v>Não</x:v>
      </x:c>
      <x:c r="P52" t="str">
        <x:v>Dado fictício para demonstração</x:v>
      </x:c>
    </x:row>
    <x:row r="53">
      <x:c r="A53" s="6" t="n">
        <x:v>45727</x:v>
      </x:c>
      <x:c r="B53" t="n">
        <x:v>2025</x:v>
      </x:c>
      <x:c r="C53" t="str">
        <x:v>Mar</x:v>
      </x:c>
      <x:c r="D53" t="str">
        <x:v>2025</x:v>
      </x:c>
      <x:c r="E53" t="str">
        <x:v>Mão de Obra</x:v>
      </x:c>
      <x:c r="F53" t="str">
        <x:v>Mão de Obra</x:v>
      </x:c>
      <x:c r="G53" t="str">
        <x:v>Pulverização</x:v>
      </x:c>
      <x:c r="H53" t="str">
        <x:v>Pulverização</x:v>
      </x:c>
      <x:c r="I53" s="10" t="n">
        <x:v>11.4</x:v>
      </x:c>
      <x:c r="J53" t="str">
        <x:v>Hora</x:v>
      </x:c>
      <x:c r="K53" s="8" t="n">
        <x:v>25</x:v>
      </x:c>
      <x:c r="L53" s="8" t="n">
        <x:v>285</x:v>
      </x:c>
      <x:c r="M53" t="str">
        <x:v>Carlos Alberto</x:v>
      </x:c>
      <x:c r="N53" t="str">
        <x:v>Poço 03</x:v>
      </x:c>
      <x:c r="O53" t="str">
        <x:v>Não</x:v>
      </x:c>
      <x:c r="P53" t="str">
        <x:v>Dado fictício para demonstração</x:v>
      </x:c>
    </x:row>
    <x:row r="54">
      <x:c r="A54" s="6" t="n">
        <x:v>45727</x:v>
      </x:c>
      <x:c r="B54" t="n">
        <x:v>2025</x:v>
      </x:c>
      <x:c r="C54" t="str">
        <x:v>Mar</x:v>
      </x:c>
      <x:c r="D54" t="str">
        <x:v>2025</x:v>
      </x:c>
      <x:c r="E54" t="str">
        <x:v>Custos Gerais</x:v>
      </x:c>
      <x:c r="F54" t="str">
        <x:v>Custos Gerais</x:v>
      </x:c>
      <x:c r="G54" t="str">
        <x:v>Peças e reparos</x:v>
      </x:c>
      <x:c r="H54" t="str">
        <x:v>Manutenção</x:v>
      </x:c>
      <x:c r="I54" s="10" t="n">
        <x:v>2.16</x:v>
      </x:c>
      <x:c r="J54" t="str">
        <x:v>UN</x:v>
      </x:c>
      <x:c r="K54" s="8" t="n">
        <x:v>280</x:v>
      </x:c>
      <x:c r="L54" s="8" t="n">
        <x:v>604.8</x:v>
      </x:c>
      <x:c r="M54" t="str">
        <x:v>-</x:v>
      </x:c>
      <x:c r="N54" t="str">
        <x:v>Poço 01</x:v>
      </x:c>
      <x:c r="O54" t="str">
        <x:v>Não</x:v>
      </x:c>
      <x:c r="P54" t="str">
        <x:v>Dado fictício para demonstração</x:v>
      </x:c>
    </x:row>
    <x:row r="55">
      <x:c r="A55" s="6" t="n">
        <x:v>45728</x:v>
      </x:c>
      <x:c r="B55" t="n">
        <x:v>2025</x:v>
      </x:c>
      <x:c r="C55" t="str">
        <x:v>Mar</x:v>
      </x:c>
      <x:c r="D55" t="str">
        <x:v>2025</x:v>
      </x:c>
      <x:c r="E55" t="str">
        <x:v>Insumos</x:v>
      </x:c>
      <x:c r="F55" t="str">
        <x:v>Insumos</x:v>
      </x:c>
      <x:c r="G55" t="str">
        <x:v>Nitrato de Amônia</x:v>
      </x:c>
      <x:c r="H55" t="str">
        <x:v>Nutrição</x:v>
      </x:c>
      <x:c r="I55" s="10" t="n">
        <x:v>57.64</x:v>
      </x:c>
      <x:c r="J55" t="str">
        <x:v>KG</x:v>
      </x:c>
      <x:c r="K55" s="8" t="n">
        <x:v>18.5</x:v>
      </x:c>
      <x:c r="L55" s="8" t="n">
        <x:v>1066.34</x:v>
      </x:c>
      <x:c r="M55" t="str">
        <x:v>-</x:v>
      </x:c>
      <x:c r="N55" t="str">
        <x:v>Poço 01</x:v>
      </x:c>
      <x:c r="O55" t="str">
        <x:v>Não</x:v>
      </x:c>
      <x:c r="P55" t="str">
        <x:v>Dado fictício para demonstração</x:v>
      </x:c>
    </x:row>
    <x:row r="56">
      <x:c r="A56" s="6" t="n">
        <x:v>45729</x:v>
      </x:c>
      <x:c r="B56" t="n">
        <x:v>2025</x:v>
      </x:c>
      <x:c r="C56" t="str">
        <x:v>Mar</x:v>
      </x:c>
      <x:c r="D56" t="str">
        <x:v>2025</x:v>
      </x:c>
      <x:c r="E56" t="str">
        <x:v>Insumos</x:v>
      </x:c>
      <x:c r="F56" t="str">
        <x:v>Insumos</x:v>
      </x:c>
      <x:c r="G56" t="str">
        <x:v>Fosfato Monoamônico</x:v>
      </x:c>
      <x:c r="H56" t="str">
        <x:v>Nutrição</x:v>
      </x:c>
      <x:c r="I56" s="10" t="n">
        <x:v>58.37</x:v>
      </x:c>
      <x:c r="J56" t="str">
        <x:v>KG</x:v>
      </x:c>
      <x:c r="K56" s="8" t="n">
        <x:v>19.2</x:v>
      </x:c>
      <x:c r="L56" s="8" t="n">
        <x:v>1120.7</x:v>
      </x:c>
      <x:c r="M56" t="str">
        <x:v>-</x:v>
      </x:c>
      <x:c r="N56" t="str">
        <x:v>Poço 03</x:v>
      </x:c>
      <x:c r="O56" t="str">
        <x:v>Não</x:v>
      </x:c>
      <x:c r="P56" t="str">
        <x:v>Dado fictício para demonstração</x:v>
      </x:c>
    </x:row>
    <x:row r="57">
      <x:c r="A57" s="6" t="n">
        <x:v>45729</x:v>
      </x:c>
      <x:c r="B57" t="n">
        <x:v>2025</x:v>
      </x:c>
      <x:c r="C57" t="str">
        <x:v>Mar</x:v>
      </x:c>
      <x:c r="D57" t="str">
        <x:v>2025</x:v>
      </x:c>
      <x:c r="E57" t="str">
        <x:v>Mão de Obra</x:v>
      </x:c>
      <x:c r="F57" t="str">
        <x:v>Mão de Obra</x:v>
      </x:c>
      <x:c r="G57" t="str">
        <x:v>Capina</x:v>
      </x:c>
      <x:c r="H57" t="str">
        <x:v>Capina</x:v>
      </x:c>
      <x:c r="I57" s="10" t="n">
        <x:v>10.93</x:v>
      </x:c>
      <x:c r="J57" t="str">
        <x:v>Hora</x:v>
      </x:c>
      <x:c r="K57" s="8" t="n">
        <x:v>22</x:v>
      </x:c>
      <x:c r="L57" s="8" t="n">
        <x:v>240.46</x:v>
      </x:c>
      <x:c r="M57" t="str">
        <x:v>Carlos Alberto</x:v>
      </x:c>
      <x:c r="N57" t="str">
        <x:v>Poço 01</x:v>
      </x:c>
      <x:c r="O57" t="str">
        <x:v>Não</x:v>
      </x:c>
      <x:c r="P57" t="str">
        <x:v>Dado fictício para demonstração</x:v>
      </x:c>
    </x:row>
    <x:row r="58">
      <x:c r="A58" s="6" t="n">
        <x:v>45731</x:v>
      </x:c>
      <x:c r="B58" t="n">
        <x:v>2025</x:v>
      </x:c>
      <x:c r="C58" t="str">
        <x:v>Mar</x:v>
      </x:c>
      <x:c r="D58" t="str">
        <x:v>2025</x:v>
      </x:c>
      <x:c r="E58" t="str">
        <x:v>Insumos</x:v>
      </x:c>
      <x:c r="F58" t="str">
        <x:v>Insumos</x:v>
      </x:c>
      <x:c r="G58" t="str">
        <x:v>Sulfato de Magnésio</x:v>
      </x:c>
      <x:c r="H58" t="str">
        <x:v>Nutrição</x:v>
      </x:c>
      <x:c r="I58" s="10" t="n">
        <x:v>65.56</x:v>
      </x:c>
      <x:c r="J58" t="str">
        <x:v>KG</x:v>
      </x:c>
      <x:c r="K58" s="8" t="n">
        <x:v>13.5</x:v>
      </x:c>
      <x:c r="L58" s="8" t="n">
        <x:v>885.06</x:v>
      </x:c>
      <x:c r="M58" t="str">
        <x:v>-</x:v>
      </x:c>
      <x:c r="N58" t="str">
        <x:v>Poço 03</x:v>
      </x:c>
      <x:c r="O58" t="str">
        <x:v>Não</x:v>
      </x:c>
      <x:c r="P58" t="str">
        <x:v>Dado fictício para demonstração</x:v>
      </x:c>
    </x:row>
    <x:row r="59">
      <x:c r="A59" s="6" t="n">
        <x:v>45731</x:v>
      </x:c>
      <x:c r="B59" t="n">
        <x:v>2025</x:v>
      </x:c>
      <x:c r="C59" t="str">
        <x:v>Mar</x:v>
      </x:c>
      <x:c r="D59" t="str">
        <x:v>2025</x:v>
      </x:c>
      <x:c r="E59" t="str">
        <x:v>Insumos</x:v>
      </x:c>
      <x:c r="F59" t="str">
        <x:v>Insumos</x:v>
      </x:c>
      <x:c r="G59" t="str">
        <x:v>Vertimec</x:v>
      </x:c>
      <x:c r="H59" t="str">
        <x:v>Defensivos</x:v>
      </x:c>
      <x:c r="I59" s="10" t="n">
        <x:v>3.03</x:v>
      </x:c>
      <x:c r="J59" t="str">
        <x:v>LT</x:v>
      </x:c>
      <x:c r="K59" s="8" t="n">
        <x:v>630</x:v>
      </x:c>
      <x:c r="L59" s="8" t="n">
        <x:v>1908.9</x:v>
      </x:c>
      <x:c r="M59" t="str">
        <x:v>-</x:v>
      </x:c>
      <x:c r="N59" t="str">
        <x:v>Poço 03</x:v>
      </x:c>
      <x:c r="O59" t="str">
        <x:v>Não</x:v>
      </x:c>
      <x:c r="P59" t="str">
        <x:v>Dado fictício para demonstração</x:v>
      </x:c>
    </x:row>
    <x:row r="60">
      <x:c r="A60" s="6" t="n">
        <x:v>45731</x:v>
      </x:c>
      <x:c r="B60" t="n">
        <x:v>2025</x:v>
      </x:c>
      <x:c r="C60" t="str">
        <x:v>Mar</x:v>
      </x:c>
      <x:c r="D60" t="str">
        <x:v>2025</x:v>
      </x:c>
      <x:c r="E60" t="str">
        <x:v>Custos Gerais</x:v>
      </x:c>
      <x:c r="F60" t="str">
        <x:v>Custos Gerais</x:v>
      </x:c>
      <x:c r="G60" t="str">
        <x:v>Peças e reparos</x:v>
      </x:c>
      <x:c r="H60" t="str">
        <x:v>Manutenção</x:v>
      </x:c>
      <x:c r="I60" s="10" t="n">
        <x:v>2.83</x:v>
      </x:c>
      <x:c r="J60" t="str">
        <x:v>UN</x:v>
      </x:c>
      <x:c r="K60" s="8" t="n">
        <x:v>280</x:v>
      </x:c>
      <x:c r="L60" s="8" t="n">
        <x:v>792.4</x:v>
      </x:c>
      <x:c r="M60" t="str">
        <x:v>-</x:v>
      </x:c>
      <x:c r="N60" t="str">
        <x:v>Poço 04</x:v>
      </x:c>
      <x:c r="O60" t="str">
        <x:v>Não</x:v>
      </x:c>
      <x:c r="P60" t="str">
        <x:v>Dado fictício para demonstração</x:v>
      </x:c>
    </x:row>
    <x:row r="61">
      <x:c r="A61" s="6" t="n">
        <x:v>45732</x:v>
      </x:c>
      <x:c r="B61" t="n">
        <x:v>2025</x:v>
      </x:c>
      <x:c r="C61" t="str">
        <x:v>Mar</x:v>
      </x:c>
      <x:c r="D61" t="str">
        <x:v>2025</x:v>
      </x:c>
      <x:c r="E61" t="str">
        <x:v>Insumos</x:v>
      </x:c>
      <x:c r="F61" t="str">
        <x:v>Insumos</x:v>
      </x:c>
      <x:c r="G61" t="str">
        <x:v>Bórax</x:v>
      </x:c>
      <x:c r="H61" t="str">
        <x:v>Nutrição</x:v>
      </x:c>
      <x:c r="I61" s="10" t="n">
        <x:v>14.6</x:v>
      </x:c>
      <x:c r="J61" t="str">
        <x:v>KG</x:v>
      </x:c>
      <x:c r="K61" s="8" t="n">
        <x:v>35.6</x:v>
      </x:c>
      <x:c r="L61" s="8" t="n">
        <x:v>519.76</x:v>
      </x:c>
      <x:c r="M61" t="str">
        <x:v>-</x:v>
      </x:c>
      <x:c r="N61" t="str">
        <x:v>Poço 03</x:v>
      </x:c>
      <x:c r="O61" t="str">
        <x:v>Não</x:v>
      </x:c>
      <x:c r="P61" t="str">
        <x:v>Dado fictício para demonstração</x:v>
      </x:c>
    </x:row>
    <x:row r="62">
      <x:c r="A62" s="6" t="n">
        <x:v>45734</x:v>
      </x:c>
      <x:c r="B62" t="n">
        <x:v>2025</x:v>
      </x:c>
      <x:c r="C62" t="str">
        <x:v>Mar</x:v>
      </x:c>
      <x:c r="D62" t="str">
        <x:v>2025</x:v>
      </x:c>
      <x:c r="E62" t="str">
        <x:v>Mão de Obra</x:v>
      </x:c>
      <x:c r="F62" t="str">
        <x:v>Mão de Obra</x:v>
      </x:c>
      <x:c r="G62" t="str">
        <x:v>Aplicação de herbicida</x:v>
      </x:c>
      <x:c r="H62" t="str">
        <x:v>Herbicida</x:v>
      </x:c>
      <x:c r="I62" s="10" t="n">
        <x:v>8.72</x:v>
      </x:c>
      <x:c r="J62" t="str">
        <x:v>Hora</x:v>
      </x:c>
      <x:c r="K62" s="8" t="n">
        <x:v>26</x:v>
      </x:c>
      <x:c r="L62" s="8" t="n">
        <x:v>226.72</x:v>
      </x:c>
      <x:c r="M62" t="str">
        <x:v>José da Silva</x:v>
      </x:c>
      <x:c r="N62" t="str">
        <x:v>Poço 02</x:v>
      </x:c>
      <x:c r="O62" t="str">
        <x:v>Não</x:v>
      </x:c>
      <x:c r="P62" t="str">
        <x:v>Dado fictício para demonstração</x:v>
      </x:c>
    </x:row>
    <x:row r="63">
      <x:c r="A63" s="6" t="n">
        <x:v>45735</x:v>
      </x:c>
      <x:c r="B63" t="n">
        <x:v>2025</x:v>
      </x:c>
      <x:c r="C63" t="str">
        <x:v>Mar</x:v>
      </x:c>
      <x:c r="D63" t="str">
        <x:v>2025</x:v>
      </x:c>
      <x:c r="E63" t="str">
        <x:v>Mão de Obra</x:v>
      </x:c>
      <x:c r="F63" t="str">
        <x:v>Mão de Obra</x:v>
      </x:c>
      <x:c r="G63" t="str">
        <x:v>Colheita</x:v>
      </x:c>
      <x:c r="H63" t="str">
        <x:v>Colheita</x:v>
      </x:c>
      <x:c r="I63" s="10" t="n">
        <x:v>7.18</x:v>
      </x:c>
      <x:c r="J63" t="str">
        <x:v>Hora</x:v>
      </x:c>
      <x:c r="K63" s="8" t="n">
        <x:v>28</x:v>
      </x:c>
      <x:c r="L63" s="8" t="n">
        <x:v>201.04</x:v>
      </x:c>
      <x:c r="M63" t="str">
        <x:v>Lucas Pereira</x:v>
      </x:c>
      <x:c r="N63" t="str">
        <x:v>Poço 02</x:v>
      </x:c>
      <x:c r="O63" t="str">
        <x:v>Não</x:v>
      </x:c>
      <x:c r="P63" t="str">
        <x:v>Dado fictício para demonstração</x:v>
      </x:c>
    </x:row>
    <x:row r="64">
      <x:c r="A64" s="6" t="n">
        <x:v>45735</x:v>
      </x:c>
      <x:c r="B64" t="n">
        <x:v>2025</x:v>
      </x:c>
      <x:c r="C64" t="str">
        <x:v>Mar</x:v>
      </x:c>
      <x:c r="D64" t="str">
        <x:v>2025</x:v>
      </x:c>
      <x:c r="E64" t="str">
        <x:v>Mão de Obra</x:v>
      </x:c>
      <x:c r="F64" t="str">
        <x:v>Mão de Obra</x:v>
      </x:c>
      <x:c r="G64" t="str">
        <x:v>Desbrota</x:v>
      </x:c>
      <x:c r="H64" t="str">
        <x:v>Desbrota</x:v>
      </x:c>
      <x:c r="I64" s="10" t="n">
        <x:v>15.81</x:v>
      </x:c>
      <x:c r="J64" t="str">
        <x:v>Hora</x:v>
      </x:c>
      <x:c r="K64" s="8" t="n">
        <x:v>24</x:v>
      </x:c>
      <x:c r="L64" s="8" t="n">
        <x:v>379.44</x:v>
      </x:c>
      <x:c r="M64" t="str">
        <x:v>José da Silva</x:v>
      </x:c>
      <x:c r="N64" t="str">
        <x:v>Poço 04</x:v>
      </x:c>
      <x:c r="O64" t="str">
        <x:v>Não</x:v>
      </x:c>
      <x:c r="P64" t="str">
        <x:v>Dado fictício para demonstração</x:v>
      </x:c>
    </x:row>
    <x:row r="65">
      <x:c r="A65" s="6" t="n">
        <x:v>45735</x:v>
      </x:c>
      <x:c r="B65" t="n">
        <x:v>2025</x:v>
      </x:c>
      <x:c r="C65" t="str">
        <x:v>Mar</x:v>
      </x:c>
      <x:c r="D65" t="str">
        <x:v>2025</x:v>
      </x:c>
      <x:c r="E65" t="str">
        <x:v>Mão de Obra</x:v>
      </x:c>
      <x:c r="F65" t="str">
        <x:v>Mão de Obra</x:v>
      </x:c>
      <x:c r="G65" t="str">
        <x:v>Roçada</x:v>
      </x:c>
      <x:c r="H65" t="str">
        <x:v>Roçada</x:v>
      </x:c>
      <x:c r="I65" s="10" t="n">
        <x:v>14.32</x:v>
      </x:c>
      <x:c r="J65" t="str">
        <x:v>Hora</x:v>
      </x:c>
      <x:c r="K65" s="8" t="n">
        <x:v>22</x:v>
      </x:c>
      <x:c r="L65" s="8" t="n">
        <x:v>315.04</x:v>
      </x:c>
      <x:c r="M65" t="str">
        <x:v>Lucas Pereira</x:v>
      </x:c>
      <x:c r="N65" t="str">
        <x:v>Poço 03</x:v>
      </x:c>
      <x:c r="O65" t="str">
        <x:v>Não</x:v>
      </x:c>
      <x:c r="P65" t="str">
        <x:v>Dado fictício para demonstração</x:v>
      </x:c>
    </x:row>
    <x:row r="66">
      <x:c r="A66" s="6" t="n">
        <x:v>45736</x:v>
      </x:c>
      <x:c r="B66" t="n">
        <x:v>2025</x:v>
      </x:c>
      <x:c r="C66" t="str">
        <x:v>Mar</x:v>
      </x:c>
      <x:c r="D66" t="str">
        <x:v>2025</x:v>
      </x:c>
      <x:c r="E66" t="str">
        <x:v>Insumos</x:v>
      </x:c>
      <x:c r="F66" t="str">
        <x:v>Insumos</x:v>
      </x:c>
      <x:c r="G66" t="str">
        <x:v>Sulfato de Magnésio</x:v>
      </x:c>
      <x:c r="H66" t="str">
        <x:v>Nutrição</x:v>
      </x:c>
      <x:c r="I66" s="10" t="n">
        <x:v>63.24</x:v>
      </x:c>
      <x:c r="J66" t="str">
        <x:v>KG</x:v>
      </x:c>
      <x:c r="K66" s="8" t="n">
        <x:v>13.5</x:v>
      </x:c>
      <x:c r="L66" s="8" t="n">
        <x:v>853.74</x:v>
      </x:c>
      <x:c r="M66" t="str">
        <x:v>-</x:v>
      </x:c>
      <x:c r="N66" t="str">
        <x:v>Poço 01</x:v>
      </x:c>
      <x:c r="O66" t="str">
        <x:v>Não</x:v>
      </x:c>
      <x:c r="P66" t="str">
        <x:v>Dado fictício para demonstração</x:v>
      </x:c>
    </x:row>
    <x:row r="67">
      <x:c r="A67" s="6" t="n">
        <x:v>45736</x:v>
      </x:c>
      <x:c r="B67" t="n">
        <x:v>2025</x:v>
      </x:c>
      <x:c r="C67" t="str">
        <x:v>Mar</x:v>
      </x:c>
      <x:c r="D67" t="str">
        <x:v>2025</x:v>
      </x:c>
      <x:c r="E67" t="str">
        <x:v>Insumos</x:v>
      </x:c>
      <x:c r="F67" t="str">
        <x:v>Insumos</x:v>
      </x:c>
      <x:c r="G67" t="str">
        <x:v>Vertimec</x:v>
      </x:c>
      <x:c r="H67" t="str">
        <x:v>Defensivos</x:v>
      </x:c>
      <x:c r="I67" s="10" t="n">
        <x:v>1.07</x:v>
      </x:c>
      <x:c r="J67" t="str">
        <x:v>LT</x:v>
      </x:c>
      <x:c r="K67" s="8" t="n">
        <x:v>630</x:v>
      </x:c>
      <x:c r="L67" s="8" t="n">
        <x:v>674.1</x:v>
      </x:c>
      <x:c r="M67" t="str">
        <x:v>-</x:v>
      </x:c>
      <x:c r="N67" t="str">
        <x:v>Poço 03</x:v>
      </x:c>
      <x:c r="O67" t="str">
        <x:v>Não</x:v>
      </x:c>
      <x:c r="P67" t="str">
        <x:v>Dado fictício para demonstração</x:v>
      </x:c>
    </x:row>
    <x:row r="68">
      <x:c r="A68" s="6" t="n">
        <x:v>45736</x:v>
      </x:c>
      <x:c r="B68" t="n">
        <x:v>2025</x:v>
      </x:c>
      <x:c r="C68" t="str">
        <x:v>Mar</x:v>
      </x:c>
      <x:c r="D68" t="str">
        <x:v>2025</x:v>
      </x:c>
      <x:c r="E68" t="str">
        <x:v>Mão de Obra</x:v>
      </x:c>
      <x:c r="F68" t="str">
        <x:v>Mão de Obra</x:v>
      </x:c>
      <x:c r="G68" t="str">
        <x:v>Irrigação</x:v>
      </x:c>
      <x:c r="H68" t="str">
        <x:v>Irrigação</x:v>
      </x:c>
      <x:c r="I68" s="10" t="n">
        <x:v>5.93</x:v>
      </x:c>
      <x:c r="J68" t="str">
        <x:v>Hora</x:v>
      </x:c>
      <x:c r="K68" s="8" t="n">
        <x:v>23</x:v>
      </x:c>
      <x:c r="L68" s="8" t="n">
        <x:v>136.39</x:v>
      </x:c>
      <x:c r="M68" t="str">
        <x:v>Marcos Paulo</x:v>
      </x:c>
      <x:c r="N68" t="str">
        <x:v>Poço 01</x:v>
      </x:c>
      <x:c r="O68" t="str">
        <x:v>Não</x:v>
      </x:c>
      <x:c r="P68" t="str">
        <x:v>Dado fictício para demonstração</x:v>
      </x:c>
    </x:row>
    <x:row r="69">
      <x:c r="A69" s="6" t="n">
        <x:v>45736</x:v>
      </x:c>
      <x:c r="B69" t="n">
        <x:v>2025</x:v>
      </x:c>
      <x:c r="C69" t="str">
        <x:v>Mar</x:v>
      </x:c>
      <x:c r="D69" t="str">
        <x:v>2025</x:v>
      </x:c>
      <x:c r="E69" t="str">
        <x:v>Mão de Obra</x:v>
      </x:c>
      <x:c r="F69" t="str">
        <x:v>Mão de Obra</x:v>
      </x:c>
      <x:c r="G69" t="str">
        <x:v>Colheita</x:v>
      </x:c>
      <x:c r="H69" t="str">
        <x:v>Colheita</x:v>
      </x:c>
      <x:c r="I69" s="10" t="n">
        <x:v>8.74</x:v>
      </x:c>
      <x:c r="J69" t="str">
        <x:v>Hora</x:v>
      </x:c>
      <x:c r="K69" s="8" t="n">
        <x:v>28</x:v>
      </x:c>
      <x:c r="L69" s="8" t="n">
        <x:v>244.72</x:v>
      </x:c>
      <x:c r="M69" t="str">
        <x:v>Antônio Carlos</x:v>
      </x:c>
      <x:c r="N69" t="str">
        <x:v>Poço 01</x:v>
      </x:c>
      <x:c r="O69" t="str">
        <x:v>Não</x:v>
      </x:c>
      <x:c r="P69" t="str">
        <x:v>Dado fictício para demonstração</x:v>
      </x:c>
    </x:row>
    <x:row r="70">
      <x:c r="A70" s="6" t="n">
        <x:v>45736</x:v>
      </x:c>
      <x:c r="B70" t="n">
        <x:v>2025</x:v>
      </x:c>
      <x:c r="C70" t="str">
        <x:v>Mar</x:v>
      </x:c>
      <x:c r="D70" t="str">
        <x:v>2025</x:v>
      </x:c>
      <x:c r="E70" t="str">
        <x:v>Mão de Obra</x:v>
      </x:c>
      <x:c r="F70" t="str">
        <x:v>Mão de Obra</x:v>
      </x:c>
      <x:c r="G70" t="str">
        <x:v>Aplicação de herbicida</x:v>
      </x:c>
      <x:c r="H70" t="str">
        <x:v>Herbicida</x:v>
      </x:c>
      <x:c r="I70" s="10" t="n">
        <x:v>9.05</x:v>
      </x:c>
      <x:c r="J70" t="str">
        <x:v>Hora</x:v>
      </x:c>
      <x:c r="K70" s="8" t="n">
        <x:v>26</x:v>
      </x:c>
      <x:c r="L70" s="8" t="n">
        <x:v>235.3</x:v>
      </x:c>
      <x:c r="M70" t="str">
        <x:v>Antônio Carlos</x:v>
      </x:c>
      <x:c r="N70" t="str">
        <x:v>Poço 01</x:v>
      </x:c>
      <x:c r="O70" t="str">
        <x:v>Não</x:v>
      </x:c>
      <x:c r="P70" t="str">
        <x:v>Dado fictício para demonstração</x:v>
      </x:c>
    </x:row>
    <x:row r="71">
      <x:c r="A71" s="6" t="n">
        <x:v>45736</x:v>
      </x:c>
      <x:c r="B71" t="n">
        <x:v>2025</x:v>
      </x:c>
      <x:c r="C71" t="str">
        <x:v>Mar</x:v>
      </x:c>
      <x:c r="D71" t="str">
        <x:v>2025</x:v>
      </x:c>
      <x:c r="E71" t="str">
        <x:v>Custos Gerais</x:v>
      </x:c>
      <x:c r="F71" t="str">
        <x:v>Custos Gerais</x:v>
      </x:c>
      <x:c r="G71" t="str">
        <x:v>Combustível</x:v>
      </x:c>
      <x:c r="H71" t="str">
        <x:v>Máquinas</x:v>
      </x:c>
      <x:c r="I71" s="10" t="n">
        <x:v>61.84</x:v>
      </x:c>
      <x:c r="J71" t="str">
        <x:v>LT</x:v>
      </x:c>
      <x:c r="K71" s="8" t="n">
        <x:v>6.2</x:v>
      </x:c>
      <x:c r="L71" s="8" t="n">
        <x:v>383.41</x:v>
      </x:c>
      <x:c r="M71" t="str">
        <x:v>-</x:v>
      </x:c>
      <x:c r="N71" t="str">
        <x:v>Poço 04</x:v>
      </x:c>
      <x:c r="O71" t="str">
        <x:v>Não</x:v>
      </x:c>
      <x:c r="P71" t="str">
        <x:v>Dado fictício para demonstração</x:v>
      </x:c>
    </x:row>
    <x:row r="72">
      <x:c r="A72" s="6" t="n">
        <x:v>45737</x:v>
      </x:c>
      <x:c r="B72" t="n">
        <x:v>2025</x:v>
      </x:c>
      <x:c r="C72" t="str">
        <x:v>Mar</x:v>
      </x:c>
      <x:c r="D72" t="str">
        <x:v>2025</x:v>
      </x:c>
      <x:c r="E72" t="str">
        <x:v>Insumos</x:v>
      </x:c>
      <x:c r="F72" t="str">
        <x:v>Insumos</x:v>
      </x:c>
      <x:c r="G72" t="str">
        <x:v>Adubo 20.00.20</x:v>
      </x:c>
      <x:c r="H72" t="str">
        <x:v>Adubação</x:v>
      </x:c>
      <x:c r="I72" s="10" t="n">
        <x:v>29.56</x:v>
      </x:c>
      <x:c r="J72" t="str">
        <x:v>KG</x:v>
      </x:c>
      <x:c r="K72" s="8" t="n">
        <x:v>25</x:v>
      </x:c>
      <x:c r="L72" s="8" t="n">
        <x:v>739</x:v>
      </x:c>
      <x:c r="M72" t="str">
        <x:v>-</x:v>
      </x:c>
      <x:c r="N72" t="str">
        <x:v>Poço 04</x:v>
      </x:c>
      <x:c r="O72" t="str">
        <x:v>Não</x:v>
      </x:c>
      <x:c r="P72" t="str">
        <x:v>Dado fictício para demonstração</x:v>
      </x:c>
    </x:row>
    <x:row r="73">
      <x:c r="A73" s="6" t="n">
        <x:v>45740</x:v>
      </x:c>
      <x:c r="B73" t="n">
        <x:v>2025</x:v>
      </x:c>
      <x:c r="C73" t="str">
        <x:v>Mar</x:v>
      </x:c>
      <x:c r="D73" t="str">
        <x:v>2025</x:v>
      </x:c>
      <x:c r="E73" t="str">
        <x:v>Insumos</x:v>
      </x:c>
      <x:c r="F73" t="str">
        <x:v>Insumos</x:v>
      </x:c>
      <x:c r="G73" t="str">
        <x:v>Vertimec</x:v>
      </x:c>
      <x:c r="H73" t="str">
        <x:v>Defensivos</x:v>
      </x:c>
      <x:c r="I73" s="10" t="n">
        <x:v>2.93</x:v>
      </x:c>
      <x:c r="J73" t="str">
        <x:v>LT</x:v>
      </x:c>
      <x:c r="K73" s="8" t="n">
        <x:v>630</x:v>
      </x:c>
      <x:c r="L73" s="8" t="n">
        <x:v>1845.9</x:v>
      </x:c>
      <x:c r="M73" t="str">
        <x:v>-</x:v>
      </x:c>
      <x:c r="N73" t="str">
        <x:v>Poço 04</x:v>
      </x:c>
      <x:c r="O73" t="str">
        <x:v>Não</x:v>
      </x:c>
      <x:c r="P73" t="str">
        <x:v>Dado fictício para demonstração</x:v>
      </x:c>
    </x:row>
    <x:row r="74">
      <x:c r="A74" s="6" t="n">
        <x:v>45740</x:v>
      </x:c>
      <x:c r="B74" t="n">
        <x:v>2025</x:v>
      </x:c>
      <x:c r="C74" t="str">
        <x:v>Mar</x:v>
      </x:c>
      <x:c r="D74" t="str">
        <x:v>2025</x:v>
      </x:c>
      <x:c r="E74" t="str">
        <x:v>Insumos</x:v>
      </x:c>
      <x:c r="F74" t="str">
        <x:v>Insumos</x:v>
      </x:c>
      <x:c r="G74" t="str">
        <x:v>Sulfato de Magnésio</x:v>
      </x:c>
      <x:c r="H74" t="str">
        <x:v>Nutrição</x:v>
      </x:c>
      <x:c r="I74" s="10" t="n">
        <x:v>74.65</x:v>
      </x:c>
      <x:c r="J74" t="str">
        <x:v>KG</x:v>
      </x:c>
      <x:c r="K74" s="8" t="n">
        <x:v>13.5</x:v>
      </x:c>
      <x:c r="L74" s="8" t="n">
        <x:v>1007.78</x:v>
      </x:c>
      <x:c r="M74" t="str">
        <x:v>-</x:v>
      </x:c>
      <x:c r="N74" t="str">
        <x:v>Poço 02</x:v>
      </x:c>
      <x:c r="O74" t="str">
        <x:v>Não</x:v>
      </x:c>
      <x:c r="P74" t="str">
        <x:v>Dado fictício para demonstração</x:v>
      </x:c>
    </x:row>
    <x:row r="75">
      <x:c r="A75" s="6" t="n">
        <x:v>45740</x:v>
      </x:c>
      <x:c r="B75" t="n">
        <x:v>2025</x:v>
      </x:c>
      <x:c r="C75" t="str">
        <x:v>Mar</x:v>
      </x:c>
      <x:c r="D75" t="str">
        <x:v>2025</x:v>
      </x:c>
      <x:c r="E75" t="str">
        <x:v>Mão de Obra</x:v>
      </x:c>
      <x:c r="F75" t="str">
        <x:v>Mão de Obra</x:v>
      </x:c>
      <x:c r="G75" t="str">
        <x:v>Desbrota</x:v>
      </x:c>
      <x:c r="H75" t="str">
        <x:v>Desbrota</x:v>
      </x:c>
      <x:c r="I75" s="10" t="n">
        <x:v>10.13</x:v>
      </x:c>
      <x:c r="J75" t="str">
        <x:v>Hora</x:v>
      </x:c>
      <x:c r="K75" s="8" t="n">
        <x:v>24</x:v>
      </x:c>
      <x:c r="L75" s="8" t="n">
        <x:v>243.12</x:v>
      </x:c>
      <x:c r="M75" t="str">
        <x:v>Carlos Alberto</x:v>
      </x:c>
      <x:c r="N75" t="str">
        <x:v>Poço 01</x:v>
      </x:c>
      <x:c r="O75" t="str">
        <x:v>Não</x:v>
      </x:c>
      <x:c r="P75" t="str">
        <x:v>Dado fictício para demonstração</x:v>
      </x:c>
    </x:row>
    <x:row r="76">
      <x:c r="A76" s="6" t="n">
        <x:v>45744</x:v>
      </x:c>
      <x:c r="B76" t="n">
        <x:v>2025</x:v>
      </x:c>
      <x:c r="C76" t="str">
        <x:v>Mar</x:v>
      </x:c>
      <x:c r="D76" t="str">
        <x:v>2025</x:v>
      </x:c>
      <x:c r="E76" t="str">
        <x:v>Produção</x:v>
      </x:c>
      <x:c r="F76" t="str">
        <x:v>Produção</x:v>
      </x:c>
      <x:c r="G76" t="str">
        <x:v>Caixas de Limão</x:v>
      </x:c>
      <x:c r="H76" t="str">
        <x:v>Produção mensal</x:v>
      </x:c>
      <x:c r="I76" s="10" t="n">
        <x:v>571</x:v>
      </x:c>
      <x:c r="J76" t="str">
        <x:v>CX</x:v>
      </x:c>
      <x:c r="K76" s="8" t="n">
        <x:v>0</x:v>
      </x:c>
      <x:c r="L76" s="8" t="n">
        <x:v>0</x:v>
      </x:c>
      <x:c r="M76" t="str">
        <x:v>-</x:v>
      </x:c>
      <x:c r="N76" t="str">
        <x:v>Geral</x:v>
      </x:c>
      <x:c r="O76" t="str">
        <x:v>Não</x:v>
      </x:c>
      <x:c r="P76" t="str">
        <x:v>Produção fictícia: 571 caixas</x:v>
      </x:c>
    </x:row>
    <x:row r="77">
      <x:c r="A77" s="6" t="n">
        <x:v>45748</x:v>
      </x:c>
      <x:c r="B77" t="n">
        <x:v>2025</x:v>
      </x:c>
      <x:c r="C77" t="str">
        <x:v>Abr</x:v>
      </x:c>
      <x:c r="D77" t="str">
        <x:v>2025</x:v>
      </x:c>
      <x:c r="E77" t="str">
        <x:v>Mão de Obra</x:v>
      </x:c>
      <x:c r="F77" t="str">
        <x:v>Mão de Obra</x:v>
      </x:c>
      <x:c r="G77" t="str">
        <x:v>Colheita</x:v>
      </x:c>
      <x:c r="H77" t="str">
        <x:v>Colheita</x:v>
      </x:c>
      <x:c r="I77" s="10" t="n">
        <x:v>8.53</x:v>
      </x:c>
      <x:c r="J77" t="str">
        <x:v>Hora</x:v>
      </x:c>
      <x:c r="K77" s="8" t="n">
        <x:v>28</x:v>
      </x:c>
      <x:c r="L77" s="8" t="n">
        <x:v>238.84</x:v>
      </x:c>
      <x:c r="M77" t="str">
        <x:v>Lucas Pereira</x:v>
      </x:c>
      <x:c r="N77" t="str">
        <x:v>Poço 02</x:v>
      </x:c>
      <x:c r="O77" t="str">
        <x:v>Não</x:v>
      </x:c>
      <x:c r="P77" t="str">
        <x:v>Dado fictício para demonstração</x:v>
      </x:c>
    </x:row>
    <x:row r="78">
      <x:c r="A78" s="6" t="n">
        <x:v>45749</x:v>
      </x:c>
      <x:c r="B78" t="n">
        <x:v>2025</x:v>
      </x:c>
      <x:c r="C78" t="str">
        <x:v>Abr</x:v>
      </x:c>
      <x:c r="D78" t="str">
        <x:v>2025</x:v>
      </x:c>
      <x:c r="E78" t="str">
        <x:v>Insumos</x:v>
      </x:c>
      <x:c r="F78" t="str">
        <x:v>Insumos</x:v>
      </x:c>
      <x:c r="G78" t="str">
        <x:v>Bórax</x:v>
      </x:c>
      <x:c r="H78" t="str">
        <x:v>Nutrição</x:v>
      </x:c>
      <x:c r="I78" s="10" t="n">
        <x:v>8.53</x:v>
      </x:c>
      <x:c r="J78" t="str">
        <x:v>KG</x:v>
      </x:c>
      <x:c r="K78" s="8" t="n">
        <x:v>35.6</x:v>
      </x:c>
      <x:c r="L78" s="8" t="n">
        <x:v>303.67</x:v>
      </x:c>
      <x:c r="M78" t="str">
        <x:v>-</x:v>
      </x:c>
      <x:c r="N78" t="str">
        <x:v>Poço 03</x:v>
      </x:c>
      <x:c r="O78" t="str">
        <x:v>Não</x:v>
      </x:c>
      <x:c r="P78" t="str">
        <x:v>Dado fictício para demonstração</x:v>
      </x:c>
    </x:row>
    <x:row r="79">
      <x:c r="A79" s="6" t="n">
        <x:v>45749</x:v>
      </x:c>
      <x:c r="B79" t="n">
        <x:v>2025</x:v>
      </x:c>
      <x:c r="C79" t="str">
        <x:v>Abr</x:v>
      </x:c>
      <x:c r="D79" t="str">
        <x:v>2025</x:v>
      </x:c>
      <x:c r="E79" t="str">
        <x:v>Insumos</x:v>
      </x:c>
      <x:c r="F79" t="str">
        <x:v>Insumos</x:v>
      </x:c>
      <x:c r="G79" t="str">
        <x:v>Cobre Recop</x:v>
      </x:c>
      <x:c r="H79" t="str">
        <x:v>Cancro</x:v>
      </x:c>
      <x:c r="I79" s="10" t="n">
        <x:v>17.5</x:v>
      </x:c>
      <x:c r="J79" t="str">
        <x:v>KG</x:v>
      </x:c>
      <x:c r="K79" s="8" t="n">
        <x:v>67.5</x:v>
      </x:c>
      <x:c r="L79" s="8" t="n">
        <x:v>1181.25</x:v>
      </x:c>
      <x:c r="M79" t="str">
        <x:v>-</x:v>
      </x:c>
      <x:c r="N79" t="str">
        <x:v>Poço 02</x:v>
      </x:c>
      <x:c r="O79" t="str">
        <x:v>Não</x:v>
      </x:c>
      <x:c r="P79" t="str">
        <x:v>Dado fictício para demonstração</x:v>
      </x:c>
    </x:row>
    <x:row r="80">
      <x:c r="A80" s="6" t="n">
        <x:v>45750</x:v>
      </x:c>
      <x:c r="B80" t="n">
        <x:v>2025</x:v>
      </x:c>
      <x:c r="C80" t="str">
        <x:v>Abr</x:v>
      </x:c>
      <x:c r="D80" t="str">
        <x:v>2025</x:v>
      </x:c>
      <x:c r="E80" t="str">
        <x:v>Mão de Obra</x:v>
      </x:c>
      <x:c r="F80" t="str">
        <x:v>Mão de Obra</x:v>
      </x:c>
      <x:c r="G80" t="str">
        <x:v>Irrigação</x:v>
      </x:c>
      <x:c r="H80" t="str">
        <x:v>Irrigação</x:v>
      </x:c>
      <x:c r="I80" s="10" t="n">
        <x:v>8.98</x:v>
      </x:c>
      <x:c r="J80" t="str">
        <x:v>Hora</x:v>
      </x:c>
      <x:c r="K80" s="8" t="n">
        <x:v>23</x:v>
      </x:c>
      <x:c r="L80" s="8" t="n">
        <x:v>206.54</x:v>
      </x:c>
      <x:c r="M80" t="str">
        <x:v>Daniel Costa</x:v>
      </x:c>
      <x:c r="N80" t="str">
        <x:v>Poço 01</x:v>
      </x:c>
      <x:c r="O80" t="str">
        <x:v>Não</x:v>
      </x:c>
      <x:c r="P80" t="str">
        <x:v>Dado fictício para demonstração</x:v>
      </x:c>
    </x:row>
    <x:row r="81">
      <x:c r="A81" s="6" t="n">
        <x:v>45750</x:v>
      </x:c>
      <x:c r="B81" t="n">
        <x:v>2025</x:v>
      </x:c>
      <x:c r="C81" t="str">
        <x:v>Abr</x:v>
      </x:c>
      <x:c r="D81" t="str">
        <x:v>2025</x:v>
      </x:c>
      <x:c r="E81" t="str">
        <x:v>Mão de Obra</x:v>
      </x:c>
      <x:c r="F81" t="str">
        <x:v>Mão de Obra</x:v>
      </x:c>
      <x:c r="G81" t="str">
        <x:v>Capina</x:v>
      </x:c>
      <x:c r="H81" t="str">
        <x:v>Capina</x:v>
      </x:c>
      <x:c r="I81" s="10" t="n">
        <x:v>13.73</x:v>
      </x:c>
      <x:c r="J81" t="str">
        <x:v>Hora</x:v>
      </x:c>
      <x:c r="K81" s="8" t="n">
        <x:v>22</x:v>
      </x:c>
      <x:c r="L81" s="8" t="n">
        <x:v>302.06</x:v>
      </x:c>
      <x:c r="M81" t="str">
        <x:v>José da Silva</x:v>
      </x:c>
      <x:c r="N81" t="str">
        <x:v>Poço 04</x:v>
      </x:c>
      <x:c r="O81" t="str">
        <x:v>Não</x:v>
      </x:c>
      <x:c r="P81" t="str">
        <x:v>Dado fictício para demonstração</x:v>
      </x:c>
    </x:row>
    <x:row r="82">
      <x:c r="A82" s="6" t="n">
        <x:v>45751</x:v>
      </x:c>
      <x:c r="B82" t="n">
        <x:v>2025</x:v>
      </x:c>
      <x:c r="C82" t="str">
        <x:v>Abr</x:v>
      </x:c>
      <x:c r="D82" t="str">
        <x:v>2025</x:v>
      </x:c>
      <x:c r="E82" t="str">
        <x:v>Insumos</x:v>
      </x:c>
      <x:c r="F82" t="str">
        <x:v>Insumos</x:v>
      </x:c>
      <x:c r="G82" t="str">
        <x:v>Sulfato de Magnésio</x:v>
      </x:c>
      <x:c r="H82" t="str">
        <x:v>Nutrição</x:v>
      </x:c>
      <x:c r="I82" s="10" t="n">
        <x:v>77.58</x:v>
      </x:c>
      <x:c r="J82" t="str">
        <x:v>KG</x:v>
      </x:c>
      <x:c r="K82" s="8" t="n">
        <x:v>13.5</x:v>
      </x:c>
      <x:c r="L82" s="8" t="n">
        <x:v>1047.33</x:v>
      </x:c>
      <x:c r="M82" t="str">
        <x:v>-</x:v>
      </x:c>
      <x:c r="N82" t="str">
        <x:v>Poço 01</x:v>
      </x:c>
      <x:c r="O82" t="str">
        <x:v>Não</x:v>
      </x:c>
      <x:c r="P82" t="str">
        <x:v>Dado fictício para demonstração</x:v>
      </x:c>
    </x:row>
    <x:row r="83">
      <x:c r="A83" s="6" t="n">
        <x:v>45751</x:v>
      </x:c>
      <x:c r="B83" t="n">
        <x:v>2025</x:v>
      </x:c>
      <x:c r="C83" t="str">
        <x:v>Abr</x:v>
      </x:c>
      <x:c r="D83" t="str">
        <x:v>2025</x:v>
      </x:c>
      <x:c r="E83" t="str">
        <x:v>Mão de Obra</x:v>
      </x:c>
      <x:c r="F83" t="str">
        <x:v>Mão de Obra</x:v>
      </x:c>
      <x:c r="G83" t="str">
        <x:v>Desbrota</x:v>
      </x:c>
      <x:c r="H83" t="str">
        <x:v>Desbrota</x:v>
      </x:c>
      <x:c r="I83" s="10" t="n">
        <x:v>11.64</x:v>
      </x:c>
      <x:c r="J83" t="str">
        <x:v>Hora</x:v>
      </x:c>
      <x:c r="K83" s="8" t="n">
        <x:v>24</x:v>
      </x:c>
      <x:c r="L83" s="8" t="n">
        <x:v>279.36</x:v>
      </x:c>
      <x:c r="M83" t="str">
        <x:v>Rogério Lima</x:v>
      </x:c>
      <x:c r="N83" t="str">
        <x:v>Poço 01</x:v>
      </x:c>
      <x:c r="O83" t="str">
        <x:v>Não</x:v>
      </x:c>
      <x:c r="P83" t="str">
        <x:v>Dado fictício para demonstração</x:v>
      </x:c>
    </x:row>
    <x:row r="84">
      <x:c r="A84" s="6" t="n">
        <x:v>45752</x:v>
      </x:c>
      <x:c r="B84" t="n">
        <x:v>2025</x:v>
      </x:c>
      <x:c r="C84" t="str">
        <x:v>Abr</x:v>
      </x:c>
      <x:c r="D84" t="str">
        <x:v>2025</x:v>
      </x:c>
      <x:c r="E84" t="str">
        <x:v>Insumos</x:v>
      </x:c>
      <x:c r="F84" t="str">
        <x:v>Insumos</x:v>
      </x:c>
      <x:c r="G84" t="str">
        <x:v>Esterco de Gado</x:v>
      </x:c>
      <x:c r="H84" t="str">
        <x:v>Adubação</x:v>
      </x:c>
      <x:c r="I84" s="10" t="n">
        <x:v>7.59</x:v>
      </x:c>
      <x:c r="J84" t="str">
        <x:v>TON</x:v>
      </x:c>
      <x:c r="K84" s="8" t="n">
        <x:v>490</x:v>
      </x:c>
      <x:c r="L84" s="8" t="n">
        <x:v>3719.1</x:v>
      </x:c>
      <x:c r="M84" t="str">
        <x:v>-</x:v>
      </x:c>
      <x:c r="N84" t="str">
        <x:v>Poço 02</x:v>
      </x:c>
      <x:c r="O84" t="str">
        <x:v>Não</x:v>
      </x:c>
      <x:c r="P84" t="str">
        <x:v>Dado fictício para demonstração</x:v>
      </x:c>
    </x:row>
    <x:row r="85">
      <x:c r="A85" s="6" t="n">
        <x:v>45752</x:v>
      </x:c>
      <x:c r="B85" t="n">
        <x:v>2025</x:v>
      </x:c>
      <x:c r="C85" t="str">
        <x:v>Abr</x:v>
      </x:c>
      <x:c r="D85" t="str">
        <x:v>2025</x:v>
      </x:c>
      <x:c r="E85" t="str">
        <x:v>Mão de Obra</x:v>
      </x:c>
      <x:c r="F85" t="str">
        <x:v>Mão de Obra</x:v>
      </x:c>
      <x:c r="G85" t="str">
        <x:v>Pulverização</x:v>
      </x:c>
      <x:c r="H85" t="str">
        <x:v>Pulverização</x:v>
      </x:c>
      <x:c r="I85" s="10" t="n">
        <x:v>5.23</x:v>
      </x:c>
      <x:c r="J85" t="str">
        <x:v>Hora</x:v>
      </x:c>
      <x:c r="K85" s="8" t="n">
        <x:v>25</x:v>
      </x:c>
      <x:c r="L85" s="8" t="n">
        <x:v>130.75</x:v>
      </x:c>
      <x:c r="M85" t="str">
        <x:v>José da Silva</x:v>
      </x:c>
      <x:c r="N85" t="str">
        <x:v>Poço 02</x:v>
      </x:c>
      <x:c r="O85" t="str">
        <x:v>Não</x:v>
      </x:c>
      <x:c r="P85" t="str">
        <x:v>Dado fictício para demonstração</x:v>
      </x:c>
    </x:row>
    <x:row r="86">
      <x:c r="A86" s="6" t="n">
        <x:v>45753</x:v>
      </x:c>
      <x:c r="B86" t="n">
        <x:v>2025</x:v>
      </x:c>
      <x:c r="C86" t="str">
        <x:v>Abr</x:v>
      </x:c>
      <x:c r="D86" t="str">
        <x:v>2025</x:v>
      </x:c>
      <x:c r="E86" t="str">
        <x:v>Insumos</x:v>
      </x:c>
      <x:c r="F86" t="str">
        <x:v>Insumos</x:v>
      </x:c>
      <x:c r="G86" t="str">
        <x:v>Vertimec</x:v>
      </x:c>
      <x:c r="H86" t="str">
        <x:v>Defensivos</x:v>
      </x:c>
      <x:c r="I86" s="10" t="n">
        <x:v>4.83</x:v>
      </x:c>
      <x:c r="J86" t="str">
        <x:v>LT</x:v>
      </x:c>
      <x:c r="K86" s="8" t="n">
        <x:v>630</x:v>
      </x:c>
      <x:c r="L86" s="8" t="n">
        <x:v>3042.9</x:v>
      </x:c>
      <x:c r="M86" t="str">
        <x:v>-</x:v>
      </x:c>
      <x:c r="N86" t="str">
        <x:v>Poço 02</x:v>
      </x:c>
      <x:c r="O86" t="str">
        <x:v>Não</x:v>
      </x:c>
      <x:c r="P86" t="str">
        <x:v>Dado fictício para demonstração</x:v>
      </x:c>
    </x:row>
    <x:row r="87">
      <x:c r="A87" s="6" t="n">
        <x:v>45753</x:v>
      </x:c>
      <x:c r="B87" t="n">
        <x:v>2025</x:v>
      </x:c>
      <x:c r="C87" t="str">
        <x:v>Abr</x:v>
      </x:c>
      <x:c r="D87" t="str">
        <x:v>2025</x:v>
      </x:c>
      <x:c r="E87" t="str">
        <x:v>Insumos</x:v>
      </x:c>
      <x:c r="F87" t="str">
        <x:v>Insumos</x:v>
      </x:c>
      <x:c r="G87" t="str">
        <x:v>Vertimec</x:v>
      </x:c>
      <x:c r="H87" t="str">
        <x:v>Defensivos</x:v>
      </x:c>
      <x:c r="I87" s="10" t="n">
        <x:v>4.79</x:v>
      </x:c>
      <x:c r="J87" t="str">
        <x:v>LT</x:v>
      </x:c>
      <x:c r="K87" s="8" t="n">
        <x:v>630</x:v>
      </x:c>
      <x:c r="L87" s="8" t="n">
        <x:v>3017.7</x:v>
      </x:c>
      <x:c r="M87" t="str">
        <x:v>-</x:v>
      </x:c>
      <x:c r="N87" t="str">
        <x:v>Poço 01</x:v>
      </x:c>
      <x:c r="O87" t="str">
        <x:v>Não</x:v>
      </x:c>
      <x:c r="P87" t="str">
        <x:v>Dado fictício para demonstração</x:v>
      </x:c>
    </x:row>
    <x:row r="88">
      <x:c r="A88" s="6" t="n">
        <x:v>45754</x:v>
      </x:c>
      <x:c r="B88" t="n">
        <x:v>2025</x:v>
      </x:c>
      <x:c r="C88" t="str">
        <x:v>Abr</x:v>
      </x:c>
      <x:c r="D88" t="str">
        <x:v>2025</x:v>
      </x:c>
      <x:c r="E88" t="str">
        <x:v>Mão de Obra</x:v>
      </x:c>
      <x:c r="F88" t="str">
        <x:v>Mão de Obra</x:v>
      </x:c>
      <x:c r="G88" t="str">
        <x:v>Irrigação</x:v>
      </x:c>
      <x:c r="H88" t="str">
        <x:v>Irrigação</x:v>
      </x:c>
      <x:c r="I88" s="10" t="n">
        <x:v>6.31</x:v>
      </x:c>
      <x:c r="J88" t="str">
        <x:v>Hora</x:v>
      </x:c>
      <x:c r="K88" s="8" t="n">
        <x:v>23</x:v>
      </x:c>
      <x:c r="L88" s="8" t="n">
        <x:v>145.13</x:v>
      </x:c>
      <x:c r="M88" t="str">
        <x:v>Pedro Oliveira</x:v>
      </x:c>
      <x:c r="N88" t="str">
        <x:v>Poço 02</x:v>
      </x:c>
      <x:c r="O88" t="str">
        <x:v>Não</x:v>
      </x:c>
      <x:c r="P88" t="str">
        <x:v>Dado fictício para demonstração</x:v>
      </x:c>
    </x:row>
    <x:row r="89">
      <x:c r="A89" s="6" t="n">
        <x:v>45755</x:v>
      </x:c>
      <x:c r="B89" t="n">
        <x:v>2025</x:v>
      </x:c>
      <x:c r="C89" t="str">
        <x:v>Abr</x:v>
      </x:c>
      <x:c r="D89" t="str">
        <x:v>2025</x:v>
      </x:c>
      <x:c r="E89" t="str">
        <x:v>Insumos</x:v>
      </x:c>
      <x:c r="F89" t="str">
        <x:v>Insumos</x:v>
      </x:c>
      <x:c r="G89" t="str">
        <x:v>Nitrato de Amônia</x:v>
      </x:c>
      <x:c r="H89" t="str">
        <x:v>Nutrição</x:v>
      </x:c>
      <x:c r="I89" s="10" t="n">
        <x:v>45.36</x:v>
      </x:c>
      <x:c r="J89" t="str">
        <x:v>KG</x:v>
      </x:c>
      <x:c r="K89" s="8" t="n">
        <x:v>18.5</x:v>
      </x:c>
      <x:c r="L89" s="8" t="n">
        <x:v>839.16</x:v>
      </x:c>
      <x:c r="M89" t="str">
        <x:v>-</x:v>
      </x:c>
      <x:c r="N89" t="str">
        <x:v>Poço 03</x:v>
      </x:c>
      <x:c r="O89" t="str">
        <x:v>Não</x:v>
      </x:c>
      <x:c r="P89" t="str">
        <x:v>Dado fictício para demonstração</x:v>
      </x:c>
    </x:row>
    <x:row r="90">
      <x:c r="A90" s="6" t="n">
        <x:v>45755</x:v>
      </x:c>
      <x:c r="B90" t="n">
        <x:v>2025</x:v>
      </x:c>
      <x:c r="C90" t="str">
        <x:v>Abr</x:v>
      </x:c>
      <x:c r="D90" t="str">
        <x:v>2025</x:v>
      </x:c>
      <x:c r="E90" t="str">
        <x:v>Mão de Obra</x:v>
      </x:c>
      <x:c r="F90" t="str">
        <x:v>Mão de Obra</x:v>
      </x:c>
      <x:c r="G90" t="str">
        <x:v>Capina</x:v>
      </x:c>
      <x:c r="H90" t="str">
        <x:v>Capina</x:v>
      </x:c>
      <x:c r="I90" s="10" t="n">
        <x:v>11.38</x:v>
      </x:c>
      <x:c r="J90" t="str">
        <x:v>Hora</x:v>
      </x:c>
      <x:c r="K90" s="8" t="n">
        <x:v>22</x:v>
      </x:c>
      <x:c r="L90" s="8" t="n">
        <x:v>250.36</x:v>
      </x:c>
      <x:c r="M90" t="str">
        <x:v>Lucas Pereira</x:v>
      </x:c>
      <x:c r="N90" t="str">
        <x:v>Poço 01</x:v>
      </x:c>
      <x:c r="O90" t="str">
        <x:v>Não</x:v>
      </x:c>
      <x:c r="P90" t="str">
        <x:v>Dado fictício para demonstração</x:v>
      </x:c>
    </x:row>
    <x:row r="91">
      <x:c r="A91" s="6" t="n">
        <x:v>45757</x:v>
      </x:c>
      <x:c r="B91" t="n">
        <x:v>2025</x:v>
      </x:c>
      <x:c r="C91" t="str">
        <x:v>Abr</x:v>
      </x:c>
      <x:c r="D91" t="str">
        <x:v>2025</x:v>
      </x:c>
      <x:c r="E91" t="str">
        <x:v>Mão de Obra</x:v>
      </x:c>
      <x:c r="F91" t="str">
        <x:v>Mão de Obra</x:v>
      </x:c>
      <x:c r="G91" t="str">
        <x:v>Desbrota</x:v>
      </x:c>
      <x:c r="H91" t="str">
        <x:v>Desbrota</x:v>
      </x:c>
      <x:c r="I91" s="10" t="n">
        <x:v>11.79</x:v>
      </x:c>
      <x:c r="J91" t="str">
        <x:v>Hora</x:v>
      </x:c>
      <x:c r="K91" s="8" t="n">
        <x:v>24</x:v>
      </x:c>
      <x:c r="L91" s="8" t="n">
        <x:v>282.96</x:v>
      </x:c>
      <x:c r="M91" t="str">
        <x:v>João Santos</x:v>
      </x:c>
      <x:c r="N91" t="str">
        <x:v>Poço 03</x:v>
      </x:c>
      <x:c r="O91" t="str">
        <x:v>Não</x:v>
      </x:c>
      <x:c r="P91" t="str">
        <x:v>Dado fictício para demonstração</x:v>
      </x:c>
    </x:row>
    <x:row r="92">
      <x:c r="A92" s="6" t="n">
        <x:v>45758</x:v>
      </x:c>
      <x:c r="B92" t="n">
        <x:v>2025</x:v>
      </x:c>
      <x:c r="C92" t="str">
        <x:v>Abr</x:v>
      </x:c>
      <x:c r="D92" t="str">
        <x:v>2025</x:v>
      </x:c>
      <x:c r="E92" t="str">
        <x:v>Mão de Obra</x:v>
      </x:c>
      <x:c r="F92" t="str">
        <x:v>Mão de Obra</x:v>
      </x:c>
      <x:c r="G92" t="str">
        <x:v>Aplicação de herbicida</x:v>
      </x:c>
      <x:c r="H92" t="str">
        <x:v>Herbicida</x:v>
      </x:c>
      <x:c r="I92" s="10" t="n">
        <x:v>9.43</x:v>
      </x:c>
      <x:c r="J92" t="str">
        <x:v>Hora</x:v>
      </x:c>
      <x:c r="K92" s="8" t="n">
        <x:v>26</x:v>
      </x:c>
      <x:c r="L92" s="8" t="n">
        <x:v>245.18</x:v>
      </x:c>
      <x:c r="M92" t="str">
        <x:v>José da Silva</x:v>
      </x:c>
      <x:c r="N92" t="str">
        <x:v>Poço 03</x:v>
      </x:c>
      <x:c r="O92" t="str">
        <x:v>Não</x:v>
      </x:c>
      <x:c r="P92" t="str">
        <x:v>Dado fictício para demonstração</x:v>
      </x:c>
    </x:row>
    <x:row r="93">
      <x:c r="A93" s="6" t="n">
        <x:v>45758</x:v>
      </x:c>
      <x:c r="B93" t="n">
        <x:v>2025</x:v>
      </x:c>
      <x:c r="C93" t="str">
        <x:v>Abr</x:v>
      </x:c>
      <x:c r="D93" t="str">
        <x:v>2025</x:v>
      </x:c>
      <x:c r="E93" t="str">
        <x:v>Mão de Obra</x:v>
      </x:c>
      <x:c r="F93" t="str">
        <x:v>Mão de Obra</x:v>
      </x:c>
      <x:c r="G93" t="str">
        <x:v>Colheita</x:v>
      </x:c>
      <x:c r="H93" t="str">
        <x:v>Colheita</x:v>
      </x:c>
      <x:c r="I93" s="10" t="n">
        <x:v>13.62</x:v>
      </x:c>
      <x:c r="J93" t="str">
        <x:v>Hora</x:v>
      </x:c>
      <x:c r="K93" s="8" t="n">
        <x:v>28</x:v>
      </x:c>
      <x:c r="L93" s="8" t="n">
        <x:v>381.36</x:v>
      </x:c>
      <x:c r="M93" t="str">
        <x:v>Antônio Carlos</x:v>
      </x:c>
      <x:c r="N93" t="str">
        <x:v>Poço 01</x:v>
      </x:c>
      <x:c r="O93" t="str">
        <x:v>Não</x:v>
      </x:c>
      <x:c r="P93" t="str">
        <x:v>Dado fictício para demonstração</x:v>
      </x:c>
    </x:row>
    <x:row r="94">
      <x:c r="A94" s="6" t="n">
        <x:v>45759</x:v>
      </x:c>
      <x:c r="B94" t="n">
        <x:v>2025</x:v>
      </x:c>
      <x:c r="C94" t="str">
        <x:v>Abr</x:v>
      </x:c>
      <x:c r="D94" t="str">
        <x:v>2025</x:v>
      </x:c>
      <x:c r="E94" t="str">
        <x:v>Insumos</x:v>
      </x:c>
      <x:c r="F94" t="str">
        <x:v>Insumos</x:v>
      </x:c>
      <x:c r="G94" t="str">
        <x:v>Adubo 20.00.20</x:v>
      </x:c>
      <x:c r="H94" t="str">
        <x:v>Adubação</x:v>
      </x:c>
      <x:c r="I94" s="10" t="n">
        <x:v>56.96</x:v>
      </x:c>
      <x:c r="J94" t="str">
        <x:v>KG</x:v>
      </x:c>
      <x:c r="K94" s="8" t="n">
        <x:v>25</x:v>
      </x:c>
      <x:c r="L94" s="8" t="n">
        <x:v>1424</x:v>
      </x:c>
      <x:c r="M94" t="str">
        <x:v>-</x:v>
      </x:c>
      <x:c r="N94" t="str">
        <x:v>Poço 02</x:v>
      </x:c>
      <x:c r="O94" t="str">
        <x:v>Não</x:v>
      </x:c>
      <x:c r="P94" t="str">
        <x:v>Dado fictício para demonstração</x:v>
      </x:c>
    </x:row>
    <x:row r="95">
      <x:c r="A95" s="6" t="n">
        <x:v>45760</x:v>
      </x:c>
      <x:c r="B95" t="n">
        <x:v>2025</x:v>
      </x:c>
      <x:c r="C95" t="str">
        <x:v>Abr</x:v>
      </x:c>
      <x:c r="D95" t="str">
        <x:v>2025</x:v>
      </x:c>
      <x:c r="E95" t="str">
        <x:v>Insumos</x:v>
      </x:c>
      <x:c r="F95" t="str">
        <x:v>Insumos</x:v>
      </x:c>
      <x:c r="G95" t="str">
        <x:v>Bórax</x:v>
      </x:c>
      <x:c r="H95" t="str">
        <x:v>Nutrição</x:v>
      </x:c>
      <x:c r="I95" s="10" t="n">
        <x:v>20.27</x:v>
      </x:c>
      <x:c r="J95" t="str">
        <x:v>KG</x:v>
      </x:c>
      <x:c r="K95" s="8" t="n">
        <x:v>35.6</x:v>
      </x:c>
      <x:c r="L95" s="8" t="n">
        <x:v>721.61</x:v>
      </x:c>
      <x:c r="M95" t="str">
        <x:v>-</x:v>
      </x:c>
      <x:c r="N95" t="str">
        <x:v>Poço 01</x:v>
      </x:c>
      <x:c r="O95" t="str">
        <x:v>Não</x:v>
      </x:c>
      <x:c r="P95" t="str">
        <x:v>Dado fictício para demonstração</x:v>
      </x:c>
    </x:row>
    <x:row r="96">
      <x:c r="A96" s="6" t="n">
        <x:v>45760</x:v>
      </x:c>
      <x:c r="B96" t="n">
        <x:v>2025</x:v>
      </x:c>
      <x:c r="C96" t="str">
        <x:v>Abr</x:v>
      </x:c>
      <x:c r="D96" t="str">
        <x:v>2025</x:v>
      </x:c>
      <x:c r="E96" t="str">
        <x:v>Insumos</x:v>
      </x:c>
      <x:c r="F96" t="str">
        <x:v>Insumos</x:v>
      </x:c>
      <x:c r="G96" t="str">
        <x:v>Fosfato Monoamônico</x:v>
      </x:c>
      <x:c r="H96" t="str">
        <x:v>Nutrição</x:v>
      </x:c>
      <x:c r="I96" s="10" t="n">
        <x:v>76.47</x:v>
      </x:c>
      <x:c r="J96" t="str">
        <x:v>KG</x:v>
      </x:c>
      <x:c r="K96" s="8" t="n">
        <x:v>19.2</x:v>
      </x:c>
      <x:c r="L96" s="8" t="n">
        <x:v>1468.22</x:v>
      </x:c>
      <x:c r="M96" t="str">
        <x:v>-</x:v>
      </x:c>
      <x:c r="N96" t="str">
        <x:v>Poço 03</x:v>
      </x:c>
      <x:c r="O96" t="str">
        <x:v>Não</x:v>
      </x:c>
      <x:c r="P96" t="str">
        <x:v>Dado fictício para demonstração</x:v>
      </x:c>
    </x:row>
    <x:row r="97">
      <x:c r="A97" s="6" t="n">
        <x:v>45764</x:v>
      </x:c>
      <x:c r="B97" t="n">
        <x:v>2025</x:v>
      </x:c>
      <x:c r="C97" t="str">
        <x:v>Abr</x:v>
      </x:c>
      <x:c r="D97" t="str">
        <x:v>2025</x:v>
      </x:c>
      <x:c r="E97" t="str">
        <x:v>Mão de Obra</x:v>
      </x:c>
      <x:c r="F97" t="str">
        <x:v>Mão de Obra</x:v>
      </x:c>
      <x:c r="G97" t="str">
        <x:v>Desbrota</x:v>
      </x:c>
      <x:c r="H97" t="str">
        <x:v>Desbrota</x:v>
      </x:c>
      <x:c r="I97" s="10" t="n">
        <x:v>9.7</x:v>
      </x:c>
      <x:c r="J97" t="str">
        <x:v>Hora</x:v>
      </x:c>
      <x:c r="K97" s="8" t="n">
        <x:v>24</x:v>
      </x:c>
      <x:c r="L97" s="8" t="n">
        <x:v>232.8</x:v>
      </x:c>
      <x:c r="M97" t="str">
        <x:v>Pedro Oliveira</x:v>
      </x:c>
      <x:c r="N97" t="str">
        <x:v>Poço 03</x:v>
      </x:c>
      <x:c r="O97" t="str">
        <x:v>Não</x:v>
      </x:c>
      <x:c r="P97" t="str">
        <x:v>Dado fictício para demonstração</x:v>
      </x:c>
    </x:row>
    <x:row r="98">
      <x:c r="A98" s="6" t="n">
        <x:v>45765</x:v>
      </x:c>
      <x:c r="B98" t="n">
        <x:v>2025</x:v>
      </x:c>
      <x:c r="C98" t="str">
        <x:v>Abr</x:v>
      </x:c>
      <x:c r="D98" t="str">
        <x:v>2025</x:v>
      </x:c>
      <x:c r="E98" t="str">
        <x:v>Insumos</x:v>
      </x:c>
      <x:c r="F98" t="str">
        <x:v>Insumos</x:v>
      </x:c>
      <x:c r="G98" t="str">
        <x:v>Sulfato de Magnésio</x:v>
      </x:c>
      <x:c r="H98" t="str">
        <x:v>Nutrição</x:v>
      </x:c>
      <x:c r="I98" s="10" t="n">
        <x:v>77.62</x:v>
      </x:c>
      <x:c r="J98" t="str">
        <x:v>KG</x:v>
      </x:c>
      <x:c r="K98" s="8" t="n">
        <x:v>13.5</x:v>
      </x:c>
      <x:c r="L98" s="8" t="n">
        <x:v>1047.87</x:v>
      </x:c>
      <x:c r="M98" t="str">
        <x:v>-</x:v>
      </x:c>
      <x:c r="N98" t="str">
        <x:v>Poço 01</x:v>
      </x:c>
      <x:c r="O98" t="str">
        <x:v>Não</x:v>
      </x:c>
      <x:c r="P98" t="str">
        <x:v>Dado fictício para demonstração</x:v>
      </x:c>
    </x:row>
    <x:row r="99">
      <x:c r="A99" s="6" t="n">
        <x:v>45766</x:v>
      </x:c>
      <x:c r="B99" t="n">
        <x:v>2025</x:v>
      </x:c>
      <x:c r="C99" t="str">
        <x:v>Abr</x:v>
      </x:c>
      <x:c r="D99" t="str">
        <x:v>2025</x:v>
      </x:c>
      <x:c r="E99" t="str">
        <x:v>Insumos</x:v>
      </x:c>
      <x:c r="F99" t="str">
        <x:v>Insumos</x:v>
      </x:c>
      <x:c r="G99" t="str">
        <x:v>Sulfato de Magnésio</x:v>
      </x:c>
      <x:c r="H99" t="str">
        <x:v>Nutrição</x:v>
      </x:c>
      <x:c r="I99" s="10" t="n">
        <x:v>29.19</x:v>
      </x:c>
      <x:c r="J99" t="str">
        <x:v>KG</x:v>
      </x:c>
      <x:c r="K99" s="8" t="n">
        <x:v>13.5</x:v>
      </x:c>
      <x:c r="L99" s="8" t="n">
        <x:v>394.06</x:v>
      </x:c>
      <x:c r="M99" t="str">
        <x:v>-</x:v>
      </x:c>
      <x:c r="N99" t="str">
        <x:v>Poço 04</x:v>
      </x:c>
      <x:c r="O99" t="str">
        <x:v>Não</x:v>
      </x:c>
      <x:c r="P99" t="str">
        <x:v>Dado fictício para demonstração</x:v>
      </x:c>
    </x:row>
    <x:row r="100">
      <x:c r="A100" s="6" t="n">
        <x:v>45766</x:v>
      </x:c>
      <x:c r="B100" t="n">
        <x:v>2025</x:v>
      </x:c>
      <x:c r="C100" t="str">
        <x:v>Abr</x:v>
      </x:c>
      <x:c r="D100" t="str">
        <x:v>2025</x:v>
      </x:c>
      <x:c r="E100" t="str">
        <x:v>Mão de Obra</x:v>
      </x:c>
      <x:c r="F100" t="str">
        <x:v>Mão de Obra</x:v>
      </x:c>
      <x:c r="G100" t="str">
        <x:v>Capina</x:v>
      </x:c>
      <x:c r="H100" t="str">
        <x:v>Capina</x:v>
      </x:c>
      <x:c r="I100" s="10" t="n">
        <x:v>10.99</x:v>
      </x:c>
      <x:c r="J100" t="str">
        <x:v>Hora</x:v>
      </x:c>
      <x:c r="K100" s="8" t="n">
        <x:v>22</x:v>
      </x:c>
      <x:c r="L100" s="8" t="n">
        <x:v>241.78</x:v>
      </x:c>
      <x:c r="M100" t="str">
        <x:v>Marcos Paulo</x:v>
      </x:c>
      <x:c r="N100" t="str">
        <x:v>Poço 03</x:v>
      </x:c>
      <x:c r="O100" t="str">
        <x:v>Não</x:v>
      </x:c>
      <x:c r="P100" t="str">
        <x:v>Dado fictício para demonstração</x:v>
      </x:c>
    </x:row>
    <x:row r="101">
      <x:c r="A101" s="6" t="n">
        <x:v>45768</x:v>
      </x:c>
      <x:c r="B101" t="n">
        <x:v>2025</x:v>
      </x:c>
      <x:c r="C101" t="str">
        <x:v>Abr</x:v>
      </x:c>
      <x:c r="D101" t="str">
        <x:v>2025</x:v>
      </x:c>
      <x:c r="E101" t="str">
        <x:v>Insumos</x:v>
      </x:c>
      <x:c r="F101" t="str">
        <x:v>Insumos</x:v>
      </x:c>
      <x:c r="G101" t="str">
        <x:v>Adubo 20.00.20</x:v>
      </x:c>
      <x:c r="H101" t="str">
        <x:v>Adubação</x:v>
      </x:c>
      <x:c r="I101" s="10" t="n">
        <x:v>62.05</x:v>
      </x:c>
      <x:c r="J101" t="str">
        <x:v>KG</x:v>
      </x:c>
      <x:c r="K101" s="8" t="n">
        <x:v>25</x:v>
      </x:c>
      <x:c r="L101" s="8" t="n">
        <x:v>1551.25</x:v>
      </x:c>
      <x:c r="M101" t="str">
        <x:v>-</x:v>
      </x:c>
      <x:c r="N101" t="str">
        <x:v>Poço 03</x:v>
      </x:c>
      <x:c r="O101" t="str">
        <x:v>Não</x:v>
      </x:c>
      <x:c r="P101" t="str">
        <x:v>Dado fictício para demonstração</x:v>
      </x:c>
    </x:row>
    <x:row r="102">
      <x:c r="A102" s="6" t="n">
        <x:v>45770</x:v>
      </x:c>
      <x:c r="B102" t="n">
        <x:v>2025</x:v>
      </x:c>
      <x:c r="C102" t="str">
        <x:v>Abr</x:v>
      </x:c>
      <x:c r="D102" t="str">
        <x:v>2025</x:v>
      </x:c>
      <x:c r="E102" t="str">
        <x:v>Custos Gerais</x:v>
      </x:c>
      <x:c r="F102" t="str">
        <x:v>Custos Gerais</x:v>
      </x:c>
      <x:c r="G102" t="str">
        <x:v>Peças e reparos</x:v>
      </x:c>
      <x:c r="H102" t="str">
        <x:v>Manutenção</x:v>
      </x:c>
      <x:c r="I102" s="10" t="n">
        <x:v>1.2</x:v>
      </x:c>
      <x:c r="J102" t="str">
        <x:v>UN</x:v>
      </x:c>
      <x:c r="K102" s="8" t="n">
        <x:v>280</x:v>
      </x:c>
      <x:c r="L102" s="8" t="n">
        <x:v>336</x:v>
      </x:c>
      <x:c r="M102" t="str">
        <x:v>-</x:v>
      </x:c>
      <x:c r="N102" t="str">
        <x:v>Poço 04</x:v>
      </x:c>
      <x:c r="O102" t="str">
        <x:v>Não</x:v>
      </x:c>
      <x:c r="P102" t="str">
        <x:v>Dado fictício para demonstração</x:v>
      </x:c>
    </x:row>
    <x:row r="103">
      <x:c r="A103" s="6" t="n">
        <x:v>45771</x:v>
      </x:c>
      <x:c r="B103" t="n">
        <x:v>2025</x:v>
      </x:c>
      <x:c r="C103" t="str">
        <x:v>Abr</x:v>
      </x:c>
      <x:c r="D103" t="str">
        <x:v>2025</x:v>
      </x:c>
      <x:c r="E103" t="str">
        <x:v>Custos Gerais</x:v>
      </x:c>
      <x:c r="F103" t="str">
        <x:v>Custos Gerais</x:v>
      </x:c>
      <x:c r="G103" t="str">
        <x:v>Combustível</x:v>
      </x:c>
      <x:c r="H103" t="str">
        <x:v>Máquinas</x:v>
      </x:c>
      <x:c r="I103" s="10" t="n">
        <x:v>86.17</x:v>
      </x:c>
      <x:c r="J103" t="str">
        <x:v>LT</x:v>
      </x:c>
      <x:c r="K103" s="8" t="n">
        <x:v>6.2</x:v>
      </x:c>
      <x:c r="L103" s="8" t="n">
        <x:v>534.25</x:v>
      </x:c>
      <x:c r="M103" t="str">
        <x:v>-</x:v>
      </x:c>
      <x:c r="N103" t="str">
        <x:v>Poço 01</x:v>
      </x:c>
      <x:c r="O103" t="str">
        <x:v>Não</x:v>
      </x:c>
      <x:c r="P103" t="str">
        <x:v>Dado fictício para demonstração</x:v>
      </x:c>
    </x:row>
    <x:row r="104">
      <x:c r="A104" s="6" t="n">
        <x:v>45775</x:v>
      </x:c>
      <x:c r="B104" t="n">
        <x:v>2025</x:v>
      </x:c>
      <x:c r="C104" t="str">
        <x:v>Abr</x:v>
      </x:c>
      <x:c r="D104" t="str">
        <x:v>2025</x:v>
      </x:c>
      <x:c r="E104" t="str">
        <x:v>Produção</x:v>
      </x:c>
      <x:c r="F104" t="str">
        <x:v>Produção</x:v>
      </x:c>
      <x:c r="G104" t="str">
        <x:v>Caixas de Limão</x:v>
      </x:c>
      <x:c r="H104" t="str">
        <x:v>Produção mensal</x:v>
      </x:c>
      <x:c r="I104" s="10" t="n">
        <x:v>632</x:v>
      </x:c>
      <x:c r="J104" t="str">
        <x:v>CX</x:v>
      </x:c>
      <x:c r="K104" s="8" t="n">
        <x:v>0</x:v>
      </x:c>
      <x:c r="L104" s="8" t="n">
        <x:v>0</x:v>
      </x:c>
      <x:c r="M104" t="str">
        <x:v>-</x:v>
      </x:c>
      <x:c r="N104" t="str">
        <x:v>Geral</x:v>
      </x:c>
      <x:c r="O104" t="str">
        <x:v>Não</x:v>
      </x:c>
      <x:c r="P104" t="str">
        <x:v>Produção fictícia: 632 caixas</x:v>
      </x:c>
    </x:row>
    <x:row r="105">
      <x:c r="A105" s="6" t="n">
        <x:v>45778</x:v>
      </x:c>
      <x:c r="B105" t="n">
        <x:v>2025</x:v>
      </x:c>
      <x:c r="C105" t="str">
        <x:v>Mai</x:v>
      </x:c>
      <x:c r="D105" t="str">
        <x:v>2025</x:v>
      </x:c>
      <x:c r="E105" t="str">
        <x:v>Insumos</x:v>
      </x:c>
      <x:c r="F105" t="str">
        <x:v>Insumos</x:v>
      </x:c>
      <x:c r="G105" t="str">
        <x:v>Cobre Recop</x:v>
      </x:c>
      <x:c r="H105" t="str">
        <x:v>Cancro</x:v>
      </x:c>
      <x:c r="I105" s="10" t="n">
        <x:v>9.17</x:v>
      </x:c>
      <x:c r="J105" t="str">
        <x:v>KG</x:v>
      </x:c>
      <x:c r="K105" s="8" t="n">
        <x:v>67.5</x:v>
      </x:c>
      <x:c r="L105" s="8" t="n">
        <x:v>618.98</x:v>
      </x:c>
      <x:c r="M105" t="str">
        <x:v>-</x:v>
      </x:c>
      <x:c r="N105" t="str">
        <x:v>Poço 03</x:v>
      </x:c>
      <x:c r="O105" t="str">
        <x:v>Não</x:v>
      </x:c>
      <x:c r="P105" t="str">
        <x:v>Dado fictício para demonstração</x:v>
      </x:c>
    </x:row>
    <x:row r="106">
      <x:c r="A106" s="6" t="n">
        <x:v>45778</x:v>
      </x:c>
      <x:c r="B106" t="n">
        <x:v>2025</x:v>
      </x:c>
      <x:c r="C106" t="str">
        <x:v>Mai</x:v>
      </x:c>
      <x:c r="D106" t="str">
        <x:v>2025</x:v>
      </x:c>
      <x:c r="E106" t="str">
        <x:v>Mão de Obra</x:v>
      </x:c>
      <x:c r="F106" t="str">
        <x:v>Mão de Obra</x:v>
      </x:c>
      <x:c r="G106" t="str">
        <x:v>Roçada</x:v>
      </x:c>
      <x:c r="H106" t="str">
        <x:v>Roçada</x:v>
      </x:c>
      <x:c r="I106" s="10" t="n">
        <x:v>10.19</x:v>
      </x:c>
      <x:c r="J106" t="str">
        <x:v>Hora</x:v>
      </x:c>
      <x:c r="K106" s="8" t="n">
        <x:v>22</x:v>
      </x:c>
      <x:c r="L106" s="8" t="n">
        <x:v>224.18</x:v>
      </x:c>
      <x:c r="M106" t="str">
        <x:v>João Santos</x:v>
      </x:c>
      <x:c r="N106" t="str">
        <x:v>Poço 04</x:v>
      </x:c>
      <x:c r="O106" t="str">
        <x:v>Não</x:v>
      </x:c>
      <x:c r="P106" t="str">
        <x:v>Dado fictício para demonstração</x:v>
      </x:c>
    </x:row>
    <x:row r="107">
      <x:c r="A107" s="6" t="n">
        <x:v>45778</x:v>
      </x:c>
      <x:c r="B107" t="n">
        <x:v>2025</x:v>
      </x:c>
      <x:c r="C107" t="str">
        <x:v>Mai</x:v>
      </x:c>
      <x:c r="D107" t="str">
        <x:v>2025</x:v>
      </x:c>
      <x:c r="E107" t="str">
        <x:v>Mão de Obra</x:v>
      </x:c>
      <x:c r="F107" t="str">
        <x:v>Mão de Obra</x:v>
      </x:c>
      <x:c r="G107" t="str">
        <x:v>Capina</x:v>
      </x:c>
      <x:c r="H107" t="str">
        <x:v>Capina</x:v>
      </x:c>
      <x:c r="I107" s="10" t="n">
        <x:v>11.31</x:v>
      </x:c>
      <x:c r="J107" t="str">
        <x:v>Hora</x:v>
      </x:c>
      <x:c r="K107" s="8" t="n">
        <x:v>22</x:v>
      </x:c>
      <x:c r="L107" s="8" t="n">
        <x:v>248.82</x:v>
      </x:c>
      <x:c r="M107" t="str">
        <x:v>Rogério Lima</x:v>
      </x:c>
      <x:c r="N107" t="str">
        <x:v>Poço 02</x:v>
      </x:c>
      <x:c r="O107" t="str">
        <x:v>Não</x:v>
      </x:c>
      <x:c r="P107" t="str">
        <x:v>Dado fictício para demonstração</x:v>
      </x:c>
    </x:row>
    <x:row r="108">
      <x:c r="A108" s="6" t="n">
        <x:v>45779</x:v>
      </x:c>
      <x:c r="B108" t="n">
        <x:v>2025</x:v>
      </x:c>
      <x:c r="C108" t="str">
        <x:v>Mai</x:v>
      </x:c>
      <x:c r="D108" t="str">
        <x:v>2025</x:v>
      </x:c>
      <x:c r="E108" t="str">
        <x:v>Insumos</x:v>
      </x:c>
      <x:c r="F108" t="str">
        <x:v>Insumos</x:v>
      </x:c>
      <x:c r="G108" t="str">
        <x:v>Sulfato de Magnésio</x:v>
      </x:c>
      <x:c r="H108" t="str">
        <x:v>Nutrição</x:v>
      </x:c>
      <x:c r="I108" s="10" t="n">
        <x:v>54.69</x:v>
      </x:c>
      <x:c r="J108" t="str">
        <x:v>KG</x:v>
      </x:c>
      <x:c r="K108" s="8" t="n">
        <x:v>13.5</x:v>
      </x:c>
      <x:c r="L108" s="8" t="n">
        <x:v>738.31</x:v>
      </x:c>
      <x:c r="M108" t="str">
        <x:v>-</x:v>
      </x:c>
      <x:c r="N108" t="str">
        <x:v>Poço 04</x:v>
      </x:c>
      <x:c r="O108" t="str">
        <x:v>Não</x:v>
      </x:c>
      <x:c r="P108" t="str">
        <x:v>Dado fictício para demonstração</x:v>
      </x:c>
    </x:row>
    <x:row r="109">
      <x:c r="A109" s="6" t="n">
        <x:v>45779</x:v>
      </x:c>
      <x:c r="B109" t="n">
        <x:v>2025</x:v>
      </x:c>
      <x:c r="C109" t="str">
        <x:v>Mai</x:v>
      </x:c>
      <x:c r="D109" t="str">
        <x:v>2025</x:v>
      </x:c>
      <x:c r="E109" t="str">
        <x:v>Mão de Obra</x:v>
      </x:c>
      <x:c r="F109" t="str">
        <x:v>Mão de Obra</x:v>
      </x:c>
      <x:c r="G109" t="str">
        <x:v>Colheita</x:v>
      </x:c>
      <x:c r="H109" t="str">
        <x:v>Colheita</x:v>
      </x:c>
      <x:c r="I109" s="10" t="n">
        <x:v>9.38</x:v>
      </x:c>
      <x:c r="J109" t="str">
        <x:v>Hora</x:v>
      </x:c>
      <x:c r="K109" s="8" t="n">
        <x:v>28</x:v>
      </x:c>
      <x:c r="L109" s="8" t="n">
        <x:v>262.64</x:v>
      </x:c>
      <x:c r="M109" t="str">
        <x:v>José da Silva</x:v>
      </x:c>
      <x:c r="N109" t="str">
        <x:v>Poço 02</x:v>
      </x:c>
      <x:c r="O109" t="str">
        <x:v>Não</x:v>
      </x:c>
      <x:c r="P109" t="str">
        <x:v>Dado fictício para demonstração</x:v>
      </x:c>
    </x:row>
    <x:row r="110">
      <x:c r="A110" s="6" t="n">
        <x:v>45779</x:v>
      </x:c>
      <x:c r="B110" t="n">
        <x:v>2025</x:v>
      </x:c>
      <x:c r="C110" t="str">
        <x:v>Mai</x:v>
      </x:c>
      <x:c r="D110" t="str">
        <x:v>2025</x:v>
      </x:c>
      <x:c r="E110" t="str">
        <x:v>Mão de Obra</x:v>
      </x:c>
      <x:c r="F110" t="str">
        <x:v>Mão de Obra</x:v>
      </x:c>
      <x:c r="G110" t="str">
        <x:v>Capina</x:v>
      </x:c>
      <x:c r="H110" t="str">
        <x:v>Capina</x:v>
      </x:c>
      <x:c r="I110" s="10" t="n">
        <x:v>4.64</x:v>
      </x:c>
      <x:c r="J110" t="str">
        <x:v>Hora</x:v>
      </x:c>
      <x:c r="K110" s="8" t="n">
        <x:v>22</x:v>
      </x:c>
      <x:c r="L110" s="8" t="n">
        <x:v>102.08</x:v>
      </x:c>
      <x:c r="M110" t="str">
        <x:v>Carlos Alberto</x:v>
      </x:c>
      <x:c r="N110" t="str">
        <x:v>Poço 01</x:v>
      </x:c>
      <x:c r="O110" t="str">
        <x:v>Não</x:v>
      </x:c>
      <x:c r="P110" t="str">
        <x:v>Dado fictício para demonstração</x:v>
      </x:c>
    </x:row>
    <x:row r="111">
      <x:c r="A111" s="6" t="n">
        <x:v>45779</x:v>
      </x:c>
      <x:c r="B111" t="n">
        <x:v>2025</x:v>
      </x:c>
      <x:c r="C111" t="str">
        <x:v>Mai</x:v>
      </x:c>
      <x:c r="D111" t="str">
        <x:v>2025</x:v>
      </x:c>
      <x:c r="E111" t="str">
        <x:v>Custos Gerais</x:v>
      </x:c>
      <x:c r="F111" t="str">
        <x:v>Custos Gerais</x:v>
      </x:c>
      <x:c r="G111" t="str">
        <x:v>Manutenção de bomba</x:v>
      </x:c>
      <x:c r="H111" t="str">
        <x:v>Manutenção</x:v>
      </x:c>
      <x:c r="I111" s="10" t="n">
        <x:v>1.93</x:v>
      </x:c>
      <x:c r="J111" t="str">
        <x:v>UN</x:v>
      </x:c>
      <x:c r="K111" s="8" t="n">
        <x:v>450</x:v>
      </x:c>
      <x:c r="L111" s="8" t="n">
        <x:v>868.5</x:v>
      </x:c>
      <x:c r="M111" t="str">
        <x:v>-</x:v>
      </x:c>
      <x:c r="N111" t="str">
        <x:v>Poço 04</x:v>
      </x:c>
      <x:c r="O111" t="str">
        <x:v>Não</x:v>
      </x:c>
      <x:c r="P111" t="str">
        <x:v>Dado fictício para demonstração</x:v>
      </x:c>
    </x:row>
    <x:row r="112">
      <x:c r="A112" s="6" t="n">
        <x:v>45781</x:v>
      </x:c>
      <x:c r="B112" t="n">
        <x:v>2025</x:v>
      </x:c>
      <x:c r="C112" t="str">
        <x:v>Mai</x:v>
      </x:c>
      <x:c r="D112" t="str">
        <x:v>2025</x:v>
      </x:c>
      <x:c r="E112" t="str">
        <x:v>Custos Gerais</x:v>
      </x:c>
      <x:c r="F112" t="str">
        <x:v>Custos Gerais</x:v>
      </x:c>
      <x:c r="G112" t="str">
        <x:v>Manutenção de bomba</x:v>
      </x:c>
      <x:c r="H112" t="str">
        <x:v>Manutenção</x:v>
      </x:c>
      <x:c r="I112" s="10" t="n">
        <x:v>1.96</x:v>
      </x:c>
      <x:c r="J112" t="str">
        <x:v>UN</x:v>
      </x:c>
      <x:c r="K112" s="8" t="n">
        <x:v>450</x:v>
      </x:c>
      <x:c r="L112" s="8" t="n">
        <x:v>882</x:v>
      </x:c>
      <x:c r="M112" t="str">
        <x:v>-</x:v>
      </x:c>
      <x:c r="N112" t="str">
        <x:v>Poço 04</x:v>
      </x:c>
      <x:c r="O112" t="str">
        <x:v>Não</x:v>
      </x:c>
      <x:c r="P112" t="str">
        <x:v>Dado fictício para demonstração</x:v>
      </x:c>
    </x:row>
    <x:row r="113">
      <x:c r="A113" s="6" t="n">
        <x:v>45782</x:v>
      </x:c>
      <x:c r="B113" t="n">
        <x:v>2025</x:v>
      </x:c>
      <x:c r="C113" t="str">
        <x:v>Mai</x:v>
      </x:c>
      <x:c r="D113" t="str">
        <x:v>2025</x:v>
      </x:c>
      <x:c r="E113" t="str">
        <x:v>Insumos</x:v>
      </x:c>
      <x:c r="F113" t="str">
        <x:v>Insumos</x:v>
      </x:c>
      <x:c r="G113" t="str">
        <x:v>Nitrato de Amônia</x:v>
      </x:c>
      <x:c r="H113" t="str">
        <x:v>Nutrição</x:v>
      </x:c>
      <x:c r="I113" s="10" t="n">
        <x:v>52.22</x:v>
      </x:c>
      <x:c r="J113" t="str">
        <x:v>KG</x:v>
      </x:c>
      <x:c r="K113" s="8" t="n">
        <x:v>18.5</x:v>
      </x:c>
      <x:c r="L113" s="8" t="n">
        <x:v>966.07</x:v>
      </x:c>
      <x:c r="M113" t="str">
        <x:v>-</x:v>
      </x:c>
      <x:c r="N113" t="str">
        <x:v>Poço 03</x:v>
      </x:c>
      <x:c r="O113" t="str">
        <x:v>Não</x:v>
      </x:c>
      <x:c r="P113" t="str">
        <x:v>Dado fictício para demonstração</x:v>
      </x:c>
    </x:row>
    <x:row r="114">
      <x:c r="A114" s="6" t="n">
        <x:v>45782</x:v>
      </x:c>
      <x:c r="B114" t="n">
        <x:v>2025</x:v>
      </x:c>
      <x:c r="C114" t="str">
        <x:v>Mai</x:v>
      </x:c>
      <x:c r="D114" t="str">
        <x:v>2025</x:v>
      </x:c>
      <x:c r="E114" t="str">
        <x:v>Mão de Obra</x:v>
      </x:c>
      <x:c r="F114" t="str">
        <x:v>Mão de Obra</x:v>
      </x:c>
      <x:c r="G114" t="str">
        <x:v>Roçada</x:v>
      </x:c>
      <x:c r="H114" t="str">
        <x:v>Roçada</x:v>
      </x:c>
      <x:c r="I114" s="10" t="n">
        <x:v>14.32</x:v>
      </x:c>
      <x:c r="J114" t="str">
        <x:v>Hora</x:v>
      </x:c>
      <x:c r="K114" s="8" t="n">
        <x:v>22</x:v>
      </x:c>
      <x:c r="L114" s="8" t="n">
        <x:v>315.04</x:v>
      </x:c>
      <x:c r="M114" t="str">
        <x:v>Lucas Pereira</x:v>
      </x:c>
      <x:c r="N114" t="str">
        <x:v>Poço 02</x:v>
      </x:c>
      <x:c r="O114" t="str">
        <x:v>Não</x:v>
      </x:c>
      <x:c r="P114" t="str">
        <x:v>Dado fictício para demonstração</x:v>
      </x:c>
    </x:row>
    <x:row r="115">
      <x:c r="A115" s="6" t="n">
        <x:v>45782</x:v>
      </x:c>
      <x:c r="B115" t="n">
        <x:v>2025</x:v>
      </x:c>
      <x:c r="C115" t="str">
        <x:v>Mai</x:v>
      </x:c>
      <x:c r="D115" t="str">
        <x:v>2025</x:v>
      </x:c>
      <x:c r="E115" t="str">
        <x:v>Mão de Obra</x:v>
      </x:c>
      <x:c r="F115" t="str">
        <x:v>Mão de Obra</x:v>
      </x:c>
      <x:c r="G115" t="str">
        <x:v>Colheita</x:v>
      </x:c>
      <x:c r="H115" t="str">
        <x:v>Colheita</x:v>
      </x:c>
      <x:c r="I115" s="10" t="n">
        <x:v>21.24</x:v>
      </x:c>
      <x:c r="J115" t="str">
        <x:v>Hora</x:v>
      </x:c>
      <x:c r="K115" s="8" t="n">
        <x:v>28</x:v>
      </x:c>
      <x:c r="L115" s="8" t="n">
        <x:v>594.72</x:v>
      </x:c>
      <x:c r="M115" t="str">
        <x:v>Carlos Alberto</x:v>
      </x:c>
      <x:c r="N115" t="str">
        <x:v>Poço 02</x:v>
      </x:c>
      <x:c r="O115" t="str">
        <x:v>Não</x:v>
      </x:c>
      <x:c r="P115" t="str">
        <x:v>Dado fictício para demonstração</x:v>
      </x:c>
    </x:row>
    <x:row r="116">
      <x:c r="A116" s="6" t="n">
        <x:v>45784</x:v>
      </x:c>
      <x:c r="B116" t="n">
        <x:v>2025</x:v>
      </x:c>
      <x:c r="C116" t="str">
        <x:v>Mai</x:v>
      </x:c>
      <x:c r="D116" t="str">
        <x:v>2025</x:v>
      </x:c>
      <x:c r="E116" t="str">
        <x:v>Mão de Obra</x:v>
      </x:c>
      <x:c r="F116" t="str">
        <x:v>Mão de Obra</x:v>
      </x:c>
      <x:c r="G116" t="str">
        <x:v>Capina</x:v>
      </x:c>
      <x:c r="H116" t="str">
        <x:v>Capina</x:v>
      </x:c>
      <x:c r="I116" s="10" t="n">
        <x:v>10.24</x:v>
      </x:c>
      <x:c r="J116" t="str">
        <x:v>Hora</x:v>
      </x:c>
      <x:c r="K116" s="8" t="n">
        <x:v>22</x:v>
      </x:c>
      <x:c r="L116" s="8" t="n">
        <x:v>225.28</x:v>
      </x:c>
      <x:c r="M116" t="str">
        <x:v>Daniel Costa</x:v>
      </x:c>
      <x:c r="N116" t="str">
        <x:v>Poço 04</x:v>
      </x:c>
      <x:c r="O116" t="str">
        <x:v>Não</x:v>
      </x:c>
      <x:c r="P116" t="str">
        <x:v>Dado fictício para demonstração</x:v>
      </x:c>
    </x:row>
    <x:row r="117">
      <x:c r="A117" s="6" t="n">
        <x:v>45785</x:v>
      </x:c>
      <x:c r="B117" t="n">
        <x:v>2025</x:v>
      </x:c>
      <x:c r="C117" t="str">
        <x:v>Mai</x:v>
      </x:c>
      <x:c r="D117" t="str">
        <x:v>2025</x:v>
      </x:c>
      <x:c r="E117" t="str">
        <x:v>Custos Gerais</x:v>
      </x:c>
      <x:c r="F117" t="str">
        <x:v>Custos Gerais</x:v>
      </x:c>
      <x:c r="G117" t="str">
        <x:v>Peças e reparos</x:v>
      </x:c>
      <x:c r="H117" t="str">
        <x:v>Manutenção</x:v>
      </x:c>
      <x:c r="I117" s="10" t="n">
        <x:v>3.5</x:v>
      </x:c>
      <x:c r="J117" t="str">
        <x:v>UN</x:v>
      </x:c>
      <x:c r="K117" s="8" t="n">
        <x:v>280</x:v>
      </x:c>
      <x:c r="L117" s="8" t="n">
        <x:v>980</x:v>
      </x:c>
      <x:c r="M117" t="str">
        <x:v>-</x:v>
      </x:c>
      <x:c r="N117" t="str">
        <x:v>Poço 01</x:v>
      </x:c>
      <x:c r="O117" t="str">
        <x:v>Não</x:v>
      </x:c>
      <x:c r="P117" t="str">
        <x:v>Dado fictício para demonstração</x:v>
      </x:c>
    </x:row>
    <x:row r="118">
      <x:c r="A118" s="6" t="n">
        <x:v>45786</x:v>
      </x:c>
      <x:c r="B118" t="n">
        <x:v>2025</x:v>
      </x:c>
      <x:c r="C118" t="str">
        <x:v>Mai</x:v>
      </x:c>
      <x:c r="D118" t="str">
        <x:v>2025</x:v>
      </x:c>
      <x:c r="E118" t="str">
        <x:v>Insumos</x:v>
      </x:c>
      <x:c r="F118" t="str">
        <x:v>Insumos</x:v>
      </x:c>
      <x:c r="G118" t="str">
        <x:v>Vertimec</x:v>
      </x:c>
      <x:c r="H118" t="str">
        <x:v>Defensivos</x:v>
      </x:c>
      <x:c r="I118" s="10" t="n">
        <x:v>1.7</x:v>
      </x:c>
      <x:c r="J118" t="str">
        <x:v>LT</x:v>
      </x:c>
      <x:c r="K118" s="8" t="n">
        <x:v>630</x:v>
      </x:c>
      <x:c r="L118" s="8" t="n">
        <x:v>1071</x:v>
      </x:c>
      <x:c r="M118" t="str">
        <x:v>-</x:v>
      </x:c>
      <x:c r="N118" t="str">
        <x:v>Poço 04</x:v>
      </x:c>
      <x:c r="O118" t="str">
        <x:v>Não</x:v>
      </x:c>
      <x:c r="P118" t="str">
        <x:v>Dado fictício para demonstração</x:v>
      </x:c>
    </x:row>
    <x:row r="119">
      <x:c r="A119" s="6" t="n">
        <x:v>45787</x:v>
      </x:c>
      <x:c r="B119" t="n">
        <x:v>2025</x:v>
      </x:c>
      <x:c r="C119" t="str">
        <x:v>Mai</x:v>
      </x:c>
      <x:c r="D119" t="str">
        <x:v>2025</x:v>
      </x:c>
      <x:c r="E119" t="str">
        <x:v>Mão de Obra</x:v>
      </x:c>
      <x:c r="F119" t="str">
        <x:v>Mão de Obra</x:v>
      </x:c>
      <x:c r="G119" t="str">
        <x:v>Capina</x:v>
      </x:c>
      <x:c r="H119" t="str">
        <x:v>Capina</x:v>
      </x:c>
      <x:c r="I119" s="10" t="n">
        <x:v>14.21</x:v>
      </x:c>
      <x:c r="J119" t="str">
        <x:v>Hora</x:v>
      </x:c>
      <x:c r="K119" s="8" t="n">
        <x:v>22</x:v>
      </x:c>
      <x:c r="L119" s="8" t="n">
        <x:v>312.62</x:v>
      </x:c>
      <x:c r="M119" t="str">
        <x:v>Antônio Carlos</x:v>
      </x:c>
      <x:c r="N119" t="str">
        <x:v>Poço 02</x:v>
      </x:c>
      <x:c r="O119" t="str">
        <x:v>Não</x:v>
      </x:c>
      <x:c r="P119" t="str">
        <x:v>Dado fictício para demonstração</x:v>
      </x:c>
    </x:row>
    <x:row r="120">
      <x:c r="A120" s="6" t="n">
        <x:v>45788</x:v>
      </x:c>
      <x:c r="B120" t="n">
        <x:v>2025</x:v>
      </x:c>
      <x:c r="C120" t="str">
        <x:v>Mai</x:v>
      </x:c>
      <x:c r="D120" t="str">
        <x:v>2025</x:v>
      </x:c>
      <x:c r="E120" t="str">
        <x:v>Insumos</x:v>
      </x:c>
      <x:c r="F120" t="str">
        <x:v>Insumos</x:v>
      </x:c>
      <x:c r="G120" t="str">
        <x:v>Cobre Recop</x:v>
      </x:c>
      <x:c r="H120" t="str">
        <x:v>Cancro</x:v>
      </x:c>
      <x:c r="I120" s="10" t="n">
        <x:v>5.52</x:v>
      </x:c>
      <x:c r="J120" t="str">
        <x:v>KG</x:v>
      </x:c>
      <x:c r="K120" s="8" t="n">
        <x:v>67.5</x:v>
      </x:c>
      <x:c r="L120" s="8" t="n">
        <x:v>372.6</x:v>
      </x:c>
      <x:c r="M120" t="str">
        <x:v>-</x:v>
      </x:c>
      <x:c r="N120" t="str">
        <x:v>Poço 04</x:v>
      </x:c>
      <x:c r="O120" t="str">
        <x:v>Não</x:v>
      </x:c>
      <x:c r="P120" t="str">
        <x:v>Dado fictício para demonstração</x:v>
      </x:c>
    </x:row>
    <x:row r="121">
      <x:c r="A121" s="6" t="n">
        <x:v>45788</x:v>
      </x:c>
      <x:c r="B121" t="n">
        <x:v>2025</x:v>
      </x:c>
      <x:c r="C121" t="str">
        <x:v>Mai</x:v>
      </x:c>
      <x:c r="D121" t="str">
        <x:v>2025</x:v>
      </x:c>
      <x:c r="E121" t="str">
        <x:v>Mão de Obra</x:v>
      </x:c>
      <x:c r="F121" t="str">
        <x:v>Mão de Obra</x:v>
      </x:c>
      <x:c r="G121" t="str">
        <x:v>Desbrota</x:v>
      </x:c>
      <x:c r="H121" t="str">
        <x:v>Desbrota</x:v>
      </x:c>
      <x:c r="I121" s="10" t="n">
        <x:v>12.03</x:v>
      </x:c>
      <x:c r="J121" t="str">
        <x:v>Hora</x:v>
      </x:c>
      <x:c r="K121" s="8" t="n">
        <x:v>24</x:v>
      </x:c>
      <x:c r="L121" s="8" t="n">
        <x:v>288.72</x:v>
      </x:c>
      <x:c r="M121" t="str">
        <x:v>Antônio Carlos</x:v>
      </x:c>
      <x:c r="N121" t="str">
        <x:v>Poço 01</x:v>
      </x:c>
      <x:c r="O121" t="str">
        <x:v>Não</x:v>
      </x:c>
      <x:c r="P121" t="str">
        <x:v>Dado fictício para demonstração</x:v>
      </x:c>
    </x:row>
    <x:row r="122">
      <x:c r="A122" s="6" t="n">
        <x:v>45790</x:v>
      </x:c>
      <x:c r="B122" t="n">
        <x:v>2025</x:v>
      </x:c>
      <x:c r="C122" t="str">
        <x:v>Mai</x:v>
      </x:c>
      <x:c r="D122" t="str">
        <x:v>2025</x:v>
      </x:c>
      <x:c r="E122" t="str">
        <x:v>Mão de Obra</x:v>
      </x:c>
      <x:c r="F122" t="str">
        <x:v>Mão de Obra</x:v>
      </x:c>
      <x:c r="G122" t="str">
        <x:v>Desbrota</x:v>
      </x:c>
      <x:c r="H122" t="str">
        <x:v>Desbrota</x:v>
      </x:c>
      <x:c r="I122" s="10" t="n">
        <x:v>13.32</x:v>
      </x:c>
      <x:c r="J122" t="str">
        <x:v>Hora</x:v>
      </x:c>
      <x:c r="K122" s="8" t="n">
        <x:v>24</x:v>
      </x:c>
      <x:c r="L122" s="8" t="n">
        <x:v>319.68</x:v>
      </x:c>
      <x:c r="M122" t="str">
        <x:v>João Santos</x:v>
      </x:c>
      <x:c r="N122" t="str">
        <x:v>Poço 01</x:v>
      </x:c>
      <x:c r="O122" t="str">
        <x:v>Não</x:v>
      </x:c>
      <x:c r="P122" t="str">
        <x:v>Dado fictício para demonstração</x:v>
      </x:c>
    </x:row>
    <x:row r="123">
      <x:c r="A123" s="6" t="n">
        <x:v>45793</x:v>
      </x:c>
      <x:c r="B123" t="n">
        <x:v>2025</x:v>
      </x:c>
      <x:c r="C123" t="str">
        <x:v>Mai</x:v>
      </x:c>
      <x:c r="D123" t="str">
        <x:v>2025</x:v>
      </x:c>
      <x:c r="E123" t="str">
        <x:v>Insumos</x:v>
      </x:c>
      <x:c r="F123" t="str">
        <x:v>Insumos</x:v>
      </x:c>
      <x:c r="G123" t="str">
        <x:v>Glifosato</x:v>
      </x:c>
      <x:c r="H123" t="str">
        <x:v>Herbicida</x:v>
      </x:c>
      <x:c r="I123" s="10" t="n">
        <x:v>18.32</x:v>
      </x:c>
      <x:c r="J123" t="str">
        <x:v>LT</x:v>
      </x:c>
      <x:c r="K123" s="8" t="n">
        <x:v>44</x:v>
      </x:c>
      <x:c r="L123" s="8" t="n">
        <x:v>806.08</x:v>
      </x:c>
      <x:c r="M123" t="str">
        <x:v>-</x:v>
      </x:c>
      <x:c r="N123" t="str">
        <x:v>Poço 02</x:v>
      </x:c>
      <x:c r="O123" t="str">
        <x:v>Não</x:v>
      </x:c>
      <x:c r="P123" t="str">
        <x:v>Dado fictício para demonstração</x:v>
      </x:c>
    </x:row>
    <x:row r="124">
      <x:c r="A124" s="6" t="n">
        <x:v>45793</x:v>
      </x:c>
      <x:c r="B124" t="n">
        <x:v>2025</x:v>
      </x:c>
      <x:c r="C124" t="str">
        <x:v>Mai</x:v>
      </x:c>
      <x:c r="D124" t="str">
        <x:v>2025</x:v>
      </x:c>
      <x:c r="E124" t="str">
        <x:v>Mão de Obra</x:v>
      </x:c>
      <x:c r="F124" t="str">
        <x:v>Mão de Obra</x:v>
      </x:c>
      <x:c r="G124" t="str">
        <x:v>Desbrota</x:v>
      </x:c>
      <x:c r="H124" t="str">
        <x:v>Desbrota</x:v>
      </x:c>
      <x:c r="I124" s="10" t="n">
        <x:v>8.67</x:v>
      </x:c>
      <x:c r="J124" t="str">
        <x:v>Hora</x:v>
      </x:c>
      <x:c r="K124" s="8" t="n">
        <x:v>24</x:v>
      </x:c>
      <x:c r="L124" s="8" t="n">
        <x:v>208.08</x:v>
      </x:c>
      <x:c r="M124" t="str">
        <x:v>Rogério Lima</x:v>
      </x:c>
      <x:c r="N124" t="str">
        <x:v>Poço 03</x:v>
      </x:c>
      <x:c r="O124" t="str">
        <x:v>Não</x:v>
      </x:c>
      <x:c r="P124" t="str">
        <x:v>Dado fictício para demonstração</x:v>
      </x:c>
    </x:row>
    <x:row r="125">
      <x:c r="A125" s="6" t="n">
        <x:v>45794</x:v>
      </x:c>
      <x:c r="B125" t="n">
        <x:v>2025</x:v>
      </x:c>
      <x:c r="C125" t="str">
        <x:v>Mai</x:v>
      </x:c>
      <x:c r="D125" t="str">
        <x:v>2025</x:v>
      </x:c>
      <x:c r="E125" t="str">
        <x:v>Insumos</x:v>
      </x:c>
      <x:c r="F125" t="str">
        <x:v>Insumos</x:v>
      </x:c>
      <x:c r="G125" t="str">
        <x:v>Cobre Recop</x:v>
      </x:c>
      <x:c r="H125" t="str">
        <x:v>Cancro</x:v>
      </x:c>
      <x:c r="I125" s="10" t="n">
        <x:v>15.7</x:v>
      </x:c>
      <x:c r="J125" t="str">
        <x:v>KG</x:v>
      </x:c>
      <x:c r="K125" s="8" t="n">
        <x:v>67.5</x:v>
      </x:c>
      <x:c r="L125" s="8" t="n">
        <x:v>1059.75</x:v>
      </x:c>
      <x:c r="M125" t="str">
        <x:v>-</x:v>
      </x:c>
      <x:c r="N125" t="str">
        <x:v>Poço 01</x:v>
      </x:c>
      <x:c r="O125" t="str">
        <x:v>Não</x:v>
      </x:c>
      <x:c r="P125" t="str">
        <x:v>Dado fictício para demonstração</x:v>
      </x:c>
    </x:row>
    <x:row r="126">
      <x:c r="A126" s="6" t="n">
        <x:v>45796</x:v>
      </x:c>
      <x:c r="B126" t="n">
        <x:v>2025</x:v>
      </x:c>
      <x:c r="C126" t="str">
        <x:v>Mai</x:v>
      </x:c>
      <x:c r="D126" t="str">
        <x:v>2025</x:v>
      </x:c>
      <x:c r="E126" t="str">
        <x:v>Insumos</x:v>
      </x:c>
      <x:c r="F126" t="str">
        <x:v>Insumos</x:v>
      </x:c>
      <x:c r="G126" t="str">
        <x:v>Vertimec</x:v>
      </x:c>
      <x:c r="H126" t="str">
        <x:v>Defensivos</x:v>
      </x:c>
      <x:c r="I126" s="10" t="n">
        <x:v>3.54</x:v>
      </x:c>
      <x:c r="J126" t="str">
        <x:v>LT</x:v>
      </x:c>
      <x:c r="K126" s="8" t="n">
        <x:v>630</x:v>
      </x:c>
      <x:c r="L126" s="8" t="n">
        <x:v>2230.2</x:v>
      </x:c>
      <x:c r="M126" t="str">
        <x:v>-</x:v>
      </x:c>
      <x:c r="N126" t="str">
        <x:v>Poço 04</x:v>
      </x:c>
      <x:c r="O126" t="str">
        <x:v>Não</x:v>
      </x:c>
      <x:c r="P126" t="str">
        <x:v>Dado fictício para demonstração</x:v>
      </x:c>
    </x:row>
    <x:row r="127">
      <x:c r="A127" s="6" t="n">
        <x:v>45800</x:v>
      </x:c>
      <x:c r="B127" t="n">
        <x:v>2025</x:v>
      </x:c>
      <x:c r="C127" t="str">
        <x:v>Mai</x:v>
      </x:c>
      <x:c r="D127" t="str">
        <x:v>2025</x:v>
      </x:c>
      <x:c r="E127" t="str">
        <x:v>Insumos</x:v>
      </x:c>
      <x:c r="F127" t="str">
        <x:v>Insumos</x:v>
      </x:c>
      <x:c r="G127" t="str">
        <x:v>Bórax</x:v>
      </x:c>
      <x:c r="H127" t="str">
        <x:v>Nutrição</x:v>
      </x:c>
      <x:c r="I127" s="10" t="n">
        <x:v>21.13</x:v>
      </x:c>
      <x:c r="J127" t="str">
        <x:v>KG</x:v>
      </x:c>
      <x:c r="K127" s="8" t="n">
        <x:v>35.6</x:v>
      </x:c>
      <x:c r="L127" s="8" t="n">
        <x:v>752.23</x:v>
      </x:c>
      <x:c r="M127" t="str">
        <x:v>-</x:v>
      </x:c>
      <x:c r="N127" t="str">
        <x:v>Poço 01</x:v>
      </x:c>
      <x:c r="O127" t="str">
        <x:v>Não</x:v>
      </x:c>
      <x:c r="P127" t="str">
        <x:v>Dado fictício para demonstração</x:v>
      </x:c>
    </x:row>
    <x:row r="128">
      <x:c r="A128" s="6" t="n">
        <x:v>45805</x:v>
      </x:c>
      <x:c r="B128" t="n">
        <x:v>2025</x:v>
      </x:c>
      <x:c r="C128" t="str">
        <x:v>Mai</x:v>
      </x:c>
      <x:c r="D128" t="str">
        <x:v>2025</x:v>
      </x:c>
      <x:c r="E128" t="str">
        <x:v>Produção</x:v>
      </x:c>
      <x:c r="F128" t="str">
        <x:v>Produção</x:v>
      </x:c>
      <x:c r="G128" t="str">
        <x:v>Caixas de Limão</x:v>
      </x:c>
      <x:c r="H128" t="str">
        <x:v>Produção mensal</x:v>
      </x:c>
      <x:c r="I128" s="10" t="n">
        <x:v>569</x:v>
      </x:c>
      <x:c r="J128" t="str">
        <x:v>CX</x:v>
      </x:c>
      <x:c r="K128" s="8" t="n">
        <x:v>0</x:v>
      </x:c>
      <x:c r="L128" s="8" t="n">
        <x:v>0</x:v>
      </x:c>
      <x:c r="M128" t="str">
        <x:v>-</x:v>
      </x:c>
      <x:c r="N128" t="str">
        <x:v>Geral</x:v>
      </x:c>
      <x:c r="O128" t="str">
        <x:v>Não</x:v>
      </x:c>
      <x:c r="P128" t="str">
        <x:v>Produção fictícia: 569 caixas</x:v>
      </x:c>
    </x:row>
    <x:row r="129">
      <x:c r="A129" s="6" t="n">
        <x:v>45809</x:v>
      </x:c>
      <x:c r="B129" t="n">
        <x:v>2025</x:v>
      </x:c>
      <x:c r="C129" t="str">
        <x:v>Jun</x:v>
      </x:c>
      <x:c r="D129" t="str">
        <x:v>2025</x:v>
      </x:c>
      <x:c r="E129" t="str">
        <x:v>Insumos</x:v>
      </x:c>
      <x:c r="F129" t="str">
        <x:v>Insumos</x:v>
      </x:c>
      <x:c r="G129" t="str">
        <x:v>Fosfato Monoamônico</x:v>
      </x:c>
      <x:c r="H129" t="str">
        <x:v>Nutrição</x:v>
      </x:c>
      <x:c r="I129" s="10" t="n">
        <x:v>30.73</x:v>
      </x:c>
      <x:c r="J129" t="str">
        <x:v>KG</x:v>
      </x:c>
      <x:c r="K129" s="8" t="n">
        <x:v>19.2</x:v>
      </x:c>
      <x:c r="L129" s="8" t="n">
        <x:v>590.02</x:v>
      </x:c>
      <x:c r="M129" t="str">
        <x:v>-</x:v>
      </x:c>
      <x:c r="N129" t="str">
        <x:v>Poço 02</x:v>
      </x:c>
      <x:c r="O129" t="str">
        <x:v>Não</x:v>
      </x:c>
      <x:c r="P129" t="str">
        <x:v>Dado fictício para demonstração</x:v>
      </x:c>
    </x:row>
    <x:row r="130">
      <x:c r="A130" s="6" t="n">
        <x:v>45809</x:v>
      </x:c>
      <x:c r="B130" t="n">
        <x:v>2025</x:v>
      </x:c>
      <x:c r="C130" t="str">
        <x:v>Jun</x:v>
      </x:c>
      <x:c r="D130" t="str">
        <x:v>2025</x:v>
      </x:c>
      <x:c r="E130" t="str">
        <x:v>Custos Gerais</x:v>
      </x:c>
      <x:c r="F130" t="str">
        <x:v>Custos Gerais</x:v>
      </x:c>
      <x:c r="G130" t="str">
        <x:v>Peças e reparos</x:v>
      </x:c>
      <x:c r="H130" t="str">
        <x:v>Manutenção</x:v>
      </x:c>
      <x:c r="I130" s="10" t="n">
        <x:v>3.99</x:v>
      </x:c>
      <x:c r="J130" t="str">
        <x:v>UN</x:v>
      </x:c>
      <x:c r="K130" s="8" t="n">
        <x:v>280</x:v>
      </x:c>
      <x:c r="L130" s="8" t="n">
        <x:v>1117.2</x:v>
      </x:c>
      <x:c r="M130" t="str">
        <x:v>-</x:v>
      </x:c>
      <x:c r="N130" t="str">
        <x:v>Poço 04</x:v>
      </x:c>
      <x:c r="O130" t="str">
        <x:v>Não</x:v>
      </x:c>
      <x:c r="P130" t="str">
        <x:v>Dado fictício para demonstração</x:v>
      </x:c>
    </x:row>
    <x:row r="131">
      <x:c r="A131" s="6" t="n">
        <x:v>45812</x:v>
      </x:c>
      <x:c r="B131" t="n">
        <x:v>2025</x:v>
      </x:c>
      <x:c r="C131" t="str">
        <x:v>Jun</x:v>
      </x:c>
      <x:c r="D131" t="str">
        <x:v>2025</x:v>
      </x:c>
      <x:c r="E131" t="str">
        <x:v>Mão de Obra</x:v>
      </x:c>
      <x:c r="F131" t="str">
        <x:v>Mão de Obra</x:v>
      </x:c>
      <x:c r="G131" t="str">
        <x:v>Aplicação de herbicida</x:v>
      </x:c>
      <x:c r="H131" t="str">
        <x:v>Herbicida</x:v>
      </x:c>
      <x:c r="I131" s="10" t="n">
        <x:v>5.85</x:v>
      </x:c>
      <x:c r="J131" t="str">
        <x:v>Hora</x:v>
      </x:c>
      <x:c r="K131" s="8" t="n">
        <x:v>26</x:v>
      </x:c>
      <x:c r="L131" s="8" t="n">
        <x:v>152.1</x:v>
      </x:c>
      <x:c r="M131" t="str">
        <x:v>Rogério Lima</x:v>
      </x:c>
      <x:c r="N131" t="str">
        <x:v>Poço 02</x:v>
      </x:c>
      <x:c r="O131" t="str">
        <x:v>Não</x:v>
      </x:c>
      <x:c r="P131" t="str">
        <x:v>Dado fictício para demonstração</x:v>
      </x:c>
    </x:row>
    <x:row r="132">
      <x:c r="A132" s="6" t="n">
        <x:v>45814</x:v>
      </x:c>
      <x:c r="B132" t="n">
        <x:v>2025</x:v>
      </x:c>
      <x:c r="C132" t="str">
        <x:v>Jun</x:v>
      </x:c>
      <x:c r="D132" t="str">
        <x:v>2025</x:v>
      </x:c>
      <x:c r="E132" t="str">
        <x:v>Insumos</x:v>
      </x:c>
      <x:c r="F132" t="str">
        <x:v>Insumos</x:v>
      </x:c>
      <x:c r="G132" t="str">
        <x:v>Cobre Recop</x:v>
      </x:c>
      <x:c r="H132" t="str">
        <x:v>Cancro</x:v>
      </x:c>
      <x:c r="I132" s="10" t="n">
        <x:v>16.46</x:v>
      </x:c>
      <x:c r="J132" t="str">
        <x:v>KG</x:v>
      </x:c>
      <x:c r="K132" s="8" t="n">
        <x:v>67.5</x:v>
      </x:c>
      <x:c r="L132" s="8" t="n">
        <x:v>1111.05</x:v>
      </x:c>
      <x:c r="M132" t="str">
        <x:v>-</x:v>
      </x:c>
      <x:c r="N132" t="str">
        <x:v>Poço 04</x:v>
      </x:c>
      <x:c r="O132" t="str">
        <x:v>Não</x:v>
      </x:c>
      <x:c r="P132" t="str">
        <x:v>Dado fictício para demonstração</x:v>
      </x:c>
    </x:row>
    <x:row r="133">
      <x:c r="A133" s="6" t="n">
        <x:v>45815</x:v>
      </x:c>
      <x:c r="B133" t="n">
        <x:v>2025</x:v>
      </x:c>
      <x:c r="C133" t="str">
        <x:v>Jun</x:v>
      </x:c>
      <x:c r="D133" t="str">
        <x:v>2025</x:v>
      </x:c>
      <x:c r="E133" t="str">
        <x:v>Insumos</x:v>
      </x:c>
      <x:c r="F133" t="str">
        <x:v>Insumos</x:v>
      </x:c>
      <x:c r="G133" t="str">
        <x:v>Nitrato de Amônia</x:v>
      </x:c>
      <x:c r="H133" t="str">
        <x:v>Nutrição</x:v>
      </x:c>
      <x:c r="I133" s="10" t="n">
        <x:v>52.11</x:v>
      </x:c>
      <x:c r="J133" t="str">
        <x:v>KG</x:v>
      </x:c>
      <x:c r="K133" s="8" t="n">
        <x:v>18.5</x:v>
      </x:c>
      <x:c r="L133" s="8" t="n">
        <x:v>964.03</x:v>
      </x:c>
      <x:c r="M133" t="str">
        <x:v>-</x:v>
      </x:c>
      <x:c r="N133" t="str">
        <x:v>Poço 02</x:v>
      </x:c>
      <x:c r="O133" t="str">
        <x:v>Não</x:v>
      </x:c>
      <x:c r="P133" t="str">
        <x:v>Dado fictício para demonstração</x:v>
      </x:c>
    </x:row>
    <x:row r="134">
      <x:c r="A134" s="6" t="n">
        <x:v>45819</x:v>
      </x:c>
      <x:c r="B134" t="n">
        <x:v>2025</x:v>
      </x:c>
      <x:c r="C134" t="str">
        <x:v>Jun</x:v>
      </x:c>
      <x:c r="D134" t="str">
        <x:v>2025</x:v>
      </x:c>
      <x:c r="E134" t="str">
        <x:v>Insumos</x:v>
      </x:c>
      <x:c r="F134" t="str">
        <x:v>Insumos</x:v>
      </x:c>
      <x:c r="G134" t="str">
        <x:v>Vertimec</x:v>
      </x:c>
      <x:c r="H134" t="str">
        <x:v>Defensivos</x:v>
      </x:c>
      <x:c r="I134" s="10" t="n">
        <x:v>3.36</x:v>
      </x:c>
      <x:c r="J134" t="str">
        <x:v>LT</x:v>
      </x:c>
      <x:c r="K134" s="8" t="n">
        <x:v>630</x:v>
      </x:c>
      <x:c r="L134" s="8" t="n">
        <x:v>2116.8</x:v>
      </x:c>
      <x:c r="M134" t="str">
        <x:v>-</x:v>
      </x:c>
      <x:c r="N134" t="str">
        <x:v>Poço 02</x:v>
      </x:c>
      <x:c r="O134" t="str">
        <x:v>Não</x:v>
      </x:c>
      <x:c r="P134" t="str">
        <x:v>Dado fictício para demonstração</x:v>
      </x:c>
    </x:row>
    <x:row r="135">
      <x:c r="A135" s="6" t="n">
        <x:v>45820</x:v>
      </x:c>
      <x:c r="B135" t="n">
        <x:v>2025</x:v>
      </x:c>
      <x:c r="C135" t="str">
        <x:v>Jun</x:v>
      </x:c>
      <x:c r="D135" t="str">
        <x:v>2025</x:v>
      </x:c>
      <x:c r="E135" t="str">
        <x:v>Insumos</x:v>
      </x:c>
      <x:c r="F135" t="str">
        <x:v>Insumos</x:v>
      </x:c>
      <x:c r="G135" t="str">
        <x:v>Sulfato de Magnésio</x:v>
      </x:c>
      <x:c r="H135" t="str">
        <x:v>Nutrição</x:v>
      </x:c>
      <x:c r="I135" s="10" t="n">
        <x:v>57.91</x:v>
      </x:c>
      <x:c r="J135" t="str">
        <x:v>KG</x:v>
      </x:c>
      <x:c r="K135" s="8" t="n">
        <x:v>13.5</x:v>
      </x:c>
      <x:c r="L135" s="8" t="n">
        <x:v>781.78</x:v>
      </x:c>
      <x:c r="M135" t="str">
        <x:v>-</x:v>
      </x:c>
      <x:c r="N135" t="str">
        <x:v>Poço 02</x:v>
      </x:c>
      <x:c r="O135" t="str">
        <x:v>Não</x:v>
      </x:c>
      <x:c r="P135" t="str">
        <x:v>Dado fictício para demonstração</x:v>
      </x:c>
    </x:row>
    <x:row r="136">
      <x:c r="A136" s="6" t="n">
        <x:v>45821</x:v>
      </x:c>
      <x:c r="B136" t="n">
        <x:v>2025</x:v>
      </x:c>
      <x:c r="C136" t="str">
        <x:v>Jun</x:v>
      </x:c>
      <x:c r="D136" t="str">
        <x:v>2025</x:v>
      </x:c>
      <x:c r="E136" t="str">
        <x:v>Mão de Obra</x:v>
      </x:c>
      <x:c r="F136" t="str">
        <x:v>Mão de Obra</x:v>
      </x:c>
      <x:c r="G136" t="str">
        <x:v>Desbrota</x:v>
      </x:c>
      <x:c r="H136" t="str">
        <x:v>Desbrota</x:v>
      </x:c>
      <x:c r="I136" s="10" t="n">
        <x:v>4.96</x:v>
      </x:c>
      <x:c r="J136" t="str">
        <x:v>Hora</x:v>
      </x:c>
      <x:c r="K136" s="8" t="n">
        <x:v>24</x:v>
      </x:c>
      <x:c r="L136" s="8" t="n">
        <x:v>119.04</x:v>
      </x:c>
      <x:c r="M136" t="str">
        <x:v>José da Silva</x:v>
      </x:c>
      <x:c r="N136" t="str">
        <x:v>Poço 03</x:v>
      </x:c>
      <x:c r="O136" t="str">
        <x:v>Não</x:v>
      </x:c>
      <x:c r="P136" t="str">
        <x:v>Dado fictício para demonstração</x:v>
      </x:c>
    </x:row>
    <x:row r="137">
      <x:c r="A137" s="6" t="n">
        <x:v>45822</x:v>
      </x:c>
      <x:c r="B137" t="n">
        <x:v>2025</x:v>
      </x:c>
      <x:c r="C137" t="str">
        <x:v>Jun</x:v>
      </x:c>
      <x:c r="D137" t="str">
        <x:v>2025</x:v>
      </x:c>
      <x:c r="E137" t="str">
        <x:v>Mão de Obra</x:v>
      </x:c>
      <x:c r="F137" t="str">
        <x:v>Mão de Obra</x:v>
      </x:c>
      <x:c r="G137" t="str">
        <x:v>Pulverização</x:v>
      </x:c>
      <x:c r="H137" t="str">
        <x:v>Pulverização</x:v>
      </x:c>
      <x:c r="I137" s="10" t="n">
        <x:v>5.21</x:v>
      </x:c>
      <x:c r="J137" t="str">
        <x:v>Hora</x:v>
      </x:c>
      <x:c r="K137" s="8" t="n">
        <x:v>25</x:v>
      </x:c>
      <x:c r="L137" s="8" t="n">
        <x:v>130.25</x:v>
      </x:c>
      <x:c r="M137" t="str">
        <x:v>Antônio Carlos</x:v>
      </x:c>
      <x:c r="N137" t="str">
        <x:v>Poço 01</x:v>
      </x:c>
      <x:c r="O137" t="str">
        <x:v>Não</x:v>
      </x:c>
      <x:c r="P137" t="str">
        <x:v>Dado fictício para demonstração</x:v>
      </x:c>
    </x:row>
    <x:row r="138">
      <x:c r="A138" s="6" t="n">
        <x:v>45823</x:v>
      </x:c>
      <x:c r="B138" t="n">
        <x:v>2025</x:v>
      </x:c>
      <x:c r="C138" t="str">
        <x:v>Jun</x:v>
      </x:c>
      <x:c r="D138" t="str">
        <x:v>2025</x:v>
      </x:c>
      <x:c r="E138" t="str">
        <x:v>Custos Gerais</x:v>
      </x:c>
      <x:c r="F138" t="str">
        <x:v>Custos Gerais</x:v>
      </x:c>
      <x:c r="G138" t="str">
        <x:v>Combustível</x:v>
      </x:c>
      <x:c r="H138" t="str">
        <x:v>Máquinas</x:v>
      </x:c>
      <x:c r="I138" s="10" t="n">
        <x:v>50.41</x:v>
      </x:c>
      <x:c r="J138" t="str">
        <x:v>LT</x:v>
      </x:c>
      <x:c r="K138" s="8" t="n">
        <x:v>6.2</x:v>
      </x:c>
      <x:c r="L138" s="8" t="n">
        <x:v>312.54</x:v>
      </x:c>
      <x:c r="M138" t="str">
        <x:v>-</x:v>
      </x:c>
      <x:c r="N138" t="str">
        <x:v>Poço 04</x:v>
      </x:c>
      <x:c r="O138" t="str">
        <x:v>Não</x:v>
      </x:c>
      <x:c r="P138" t="str">
        <x:v>Dado fictício para demonstração</x:v>
      </x:c>
    </x:row>
    <x:row r="139">
      <x:c r="A139" s="6" t="n">
        <x:v>45824</x:v>
      </x:c>
      <x:c r="B139" t="n">
        <x:v>2025</x:v>
      </x:c>
      <x:c r="C139" t="str">
        <x:v>Jun</x:v>
      </x:c>
      <x:c r="D139" t="str">
        <x:v>2025</x:v>
      </x:c>
      <x:c r="E139" t="str">
        <x:v>Mão de Obra</x:v>
      </x:c>
      <x:c r="F139" t="str">
        <x:v>Mão de Obra</x:v>
      </x:c>
      <x:c r="G139" t="str">
        <x:v>Capina</x:v>
      </x:c>
      <x:c r="H139" t="str">
        <x:v>Capina</x:v>
      </x:c>
      <x:c r="I139" s="10" t="n">
        <x:v>8.27</x:v>
      </x:c>
      <x:c r="J139" t="str">
        <x:v>Hora</x:v>
      </x:c>
      <x:c r="K139" s="8" t="n">
        <x:v>22</x:v>
      </x:c>
      <x:c r="L139" s="8" t="n">
        <x:v>181.94</x:v>
      </x:c>
      <x:c r="M139" t="str">
        <x:v>José da Silva</x:v>
      </x:c>
      <x:c r="N139" t="str">
        <x:v>Poço 03</x:v>
      </x:c>
      <x:c r="O139" t="str">
        <x:v>Não</x:v>
      </x:c>
      <x:c r="P139" t="str">
        <x:v>Dado fictício para demonstração</x:v>
      </x:c>
    </x:row>
    <x:row r="140">
      <x:c r="A140" s="6" t="n">
        <x:v>45825</x:v>
      </x:c>
      <x:c r="B140" t="n">
        <x:v>2025</x:v>
      </x:c>
      <x:c r="C140" t="str">
        <x:v>Jun</x:v>
      </x:c>
      <x:c r="D140" t="str">
        <x:v>2025</x:v>
      </x:c>
      <x:c r="E140" t="str">
        <x:v>Insumos</x:v>
      </x:c>
      <x:c r="F140" t="str">
        <x:v>Insumos</x:v>
      </x:c>
      <x:c r="G140" t="str">
        <x:v>Bórax</x:v>
      </x:c>
      <x:c r="H140" t="str">
        <x:v>Nutrição</x:v>
      </x:c>
      <x:c r="I140" s="10" t="n">
        <x:v>14.79</x:v>
      </x:c>
      <x:c r="J140" t="str">
        <x:v>KG</x:v>
      </x:c>
      <x:c r="K140" s="8" t="n">
        <x:v>35.6</x:v>
      </x:c>
      <x:c r="L140" s="8" t="n">
        <x:v>526.52</x:v>
      </x:c>
      <x:c r="M140" t="str">
        <x:v>-</x:v>
      </x:c>
      <x:c r="N140" t="str">
        <x:v>Poço 04</x:v>
      </x:c>
      <x:c r="O140" t="str">
        <x:v>Não</x:v>
      </x:c>
      <x:c r="P140" t="str">
        <x:v>Dado fictício para demonstração</x:v>
      </x:c>
    </x:row>
    <x:row r="141">
      <x:c r="A141" s="6" t="n">
        <x:v>45826</x:v>
      </x:c>
      <x:c r="B141" t="n">
        <x:v>2025</x:v>
      </x:c>
      <x:c r="C141" t="str">
        <x:v>Jun</x:v>
      </x:c>
      <x:c r="D141" t="str">
        <x:v>2025</x:v>
      </x:c>
      <x:c r="E141" t="str">
        <x:v>Insumos</x:v>
      </x:c>
      <x:c r="F141" t="str">
        <x:v>Insumos</x:v>
      </x:c>
      <x:c r="G141" t="str">
        <x:v>Ureia</x:v>
      </x:c>
      <x:c r="H141" t="str">
        <x:v>Adubação</x:v>
      </x:c>
      <x:c r="I141" s="10" t="n">
        <x:v>31.55</x:v>
      </x:c>
      <x:c r="J141" t="str">
        <x:v>KG</x:v>
      </x:c>
      <x:c r="K141" s="8" t="n">
        <x:v>16.8</x:v>
      </x:c>
      <x:c r="L141" s="8" t="n">
        <x:v>530.04</x:v>
      </x:c>
      <x:c r="M141" t="str">
        <x:v>-</x:v>
      </x:c>
      <x:c r="N141" t="str">
        <x:v>Poço 02</x:v>
      </x:c>
      <x:c r="O141" t="str">
        <x:v>Não</x:v>
      </x:c>
      <x:c r="P141" t="str">
        <x:v>Dado fictício para demonstração</x:v>
      </x:c>
    </x:row>
    <x:row r="142">
      <x:c r="A142" s="6" t="n">
        <x:v>45827</x:v>
      </x:c>
      <x:c r="B142" t="n">
        <x:v>2025</x:v>
      </x:c>
      <x:c r="C142" t="str">
        <x:v>Jun</x:v>
      </x:c>
      <x:c r="D142" t="str">
        <x:v>2025</x:v>
      </x:c>
      <x:c r="E142" t="str">
        <x:v>Mão de Obra</x:v>
      </x:c>
      <x:c r="F142" t="str">
        <x:v>Mão de Obra</x:v>
      </x:c>
      <x:c r="G142" t="str">
        <x:v>Capina</x:v>
      </x:c>
      <x:c r="H142" t="str">
        <x:v>Capina</x:v>
      </x:c>
      <x:c r="I142" s="10" t="n">
        <x:v>14.79</x:v>
      </x:c>
      <x:c r="J142" t="str">
        <x:v>Hora</x:v>
      </x:c>
      <x:c r="K142" s="8" t="n">
        <x:v>22</x:v>
      </x:c>
      <x:c r="L142" s="8" t="n">
        <x:v>325.38</x:v>
      </x:c>
      <x:c r="M142" t="str">
        <x:v>João Santos</x:v>
      </x:c>
      <x:c r="N142" t="str">
        <x:v>Poço 04</x:v>
      </x:c>
      <x:c r="O142" t="str">
        <x:v>Não</x:v>
      </x:c>
      <x:c r="P142" t="str">
        <x:v>Dado fictício para demonstração</x:v>
      </x:c>
    </x:row>
    <x:row r="143">
      <x:c r="A143" s="6" t="n">
        <x:v>45827</x:v>
      </x:c>
      <x:c r="B143" t="n">
        <x:v>2025</x:v>
      </x:c>
      <x:c r="C143" t="str">
        <x:v>Jun</x:v>
      </x:c>
      <x:c r="D143" t="str">
        <x:v>2025</x:v>
      </x:c>
      <x:c r="E143" t="str">
        <x:v>Custos Gerais</x:v>
      </x:c>
      <x:c r="F143" t="str">
        <x:v>Custos Gerais</x:v>
      </x:c>
      <x:c r="G143" t="str">
        <x:v>Peças e reparos</x:v>
      </x:c>
      <x:c r="H143" t="str">
        <x:v>Manutenção</x:v>
      </x:c>
      <x:c r="I143" s="10" t="n">
        <x:v>2.21</x:v>
      </x:c>
      <x:c r="J143" t="str">
        <x:v>UN</x:v>
      </x:c>
      <x:c r="K143" s="8" t="n">
        <x:v>280</x:v>
      </x:c>
      <x:c r="L143" s="8" t="n">
        <x:v>618.8</x:v>
      </x:c>
      <x:c r="M143" t="str">
        <x:v>-</x:v>
      </x:c>
      <x:c r="N143" t="str">
        <x:v>Poço 04</x:v>
      </x:c>
      <x:c r="O143" t="str">
        <x:v>Não</x:v>
      </x:c>
      <x:c r="P143" t="str">
        <x:v>Dado fictício para demonstração</x:v>
      </x:c>
    </x:row>
    <x:row r="144">
      <x:c r="A144" s="6" t="n">
        <x:v>45828</x:v>
      </x:c>
      <x:c r="B144" t="n">
        <x:v>2025</x:v>
      </x:c>
      <x:c r="C144" t="str">
        <x:v>Jun</x:v>
      </x:c>
      <x:c r="D144" t="str">
        <x:v>2025</x:v>
      </x:c>
      <x:c r="E144" t="str">
        <x:v>Insumos</x:v>
      </x:c>
      <x:c r="F144" t="str">
        <x:v>Insumos</x:v>
      </x:c>
      <x:c r="G144" t="str">
        <x:v>Bórax</x:v>
      </x:c>
      <x:c r="H144" t="str">
        <x:v>Nutrição</x:v>
      </x:c>
      <x:c r="I144" s="10" t="n">
        <x:v>15.76</x:v>
      </x:c>
      <x:c r="J144" t="str">
        <x:v>KG</x:v>
      </x:c>
      <x:c r="K144" s="8" t="n">
        <x:v>35.6</x:v>
      </x:c>
      <x:c r="L144" s="8" t="n">
        <x:v>561.06</x:v>
      </x:c>
      <x:c r="M144" t="str">
        <x:v>-</x:v>
      </x:c>
      <x:c r="N144" t="str">
        <x:v>Poço 01</x:v>
      </x:c>
      <x:c r="O144" t="str">
        <x:v>Não</x:v>
      </x:c>
      <x:c r="P144" t="str">
        <x:v>Dado fictício para demonstração</x:v>
      </x:c>
    </x:row>
    <x:row r="145">
      <x:c r="A145" s="6" t="n">
        <x:v>45828</x:v>
      </x:c>
      <x:c r="B145" t="n">
        <x:v>2025</x:v>
      </x:c>
      <x:c r="C145" t="str">
        <x:v>Jun</x:v>
      </x:c>
      <x:c r="D145" t="str">
        <x:v>2025</x:v>
      </x:c>
      <x:c r="E145" t="str">
        <x:v>Custos Gerais</x:v>
      </x:c>
      <x:c r="F145" t="str">
        <x:v>Custos Gerais</x:v>
      </x:c>
      <x:c r="G145" t="str">
        <x:v>Manutenção de bomba</x:v>
      </x:c>
      <x:c r="H145" t="str">
        <x:v>Manutenção</x:v>
      </x:c>
      <x:c r="I145" s="10" t="n">
        <x:v>1.5</x:v>
      </x:c>
      <x:c r="J145" t="str">
        <x:v>UN</x:v>
      </x:c>
      <x:c r="K145" s="8" t="n">
        <x:v>450</x:v>
      </x:c>
      <x:c r="L145" s="8" t="n">
        <x:v>675</x:v>
      </x:c>
      <x:c r="M145" t="str">
        <x:v>-</x:v>
      </x:c>
      <x:c r="N145" t="str">
        <x:v>Poço 03</x:v>
      </x:c>
      <x:c r="O145" t="str">
        <x:v>Não</x:v>
      </x:c>
      <x:c r="P145" t="str">
        <x:v>Dado fictício para demonstração</x:v>
      </x:c>
    </x:row>
    <x:row r="146">
      <x:c r="A146" s="6" t="n">
        <x:v>45830</x:v>
      </x:c>
      <x:c r="B146" t="n">
        <x:v>2025</x:v>
      </x:c>
      <x:c r="C146" t="str">
        <x:v>Jun</x:v>
      </x:c>
      <x:c r="D146" t="str">
        <x:v>2025</x:v>
      </x:c>
      <x:c r="E146" t="str">
        <x:v>Insumos</x:v>
      </x:c>
      <x:c r="F146" t="str">
        <x:v>Insumos</x:v>
      </x:c>
      <x:c r="G146" t="str">
        <x:v>Sulfato de Magnésio</x:v>
      </x:c>
      <x:c r="H146" t="str">
        <x:v>Nutrição</x:v>
      </x:c>
      <x:c r="I146" s="10" t="n">
        <x:v>47.34</x:v>
      </x:c>
      <x:c r="J146" t="str">
        <x:v>KG</x:v>
      </x:c>
      <x:c r="K146" s="8" t="n">
        <x:v>13.5</x:v>
      </x:c>
      <x:c r="L146" s="8" t="n">
        <x:v>639.09</x:v>
      </x:c>
      <x:c r="M146" t="str">
        <x:v>-</x:v>
      </x:c>
      <x:c r="N146" t="str">
        <x:v>Poço 02</x:v>
      </x:c>
      <x:c r="O146" t="str">
        <x:v>Não</x:v>
      </x:c>
      <x:c r="P146" t="str">
        <x:v>Dado fictício para demonstração</x:v>
      </x:c>
    </x:row>
    <x:row r="147">
      <x:c r="A147" s="6" t="n">
        <x:v>45830</x:v>
      </x:c>
      <x:c r="B147" t="n">
        <x:v>2025</x:v>
      </x:c>
      <x:c r="C147" t="str">
        <x:v>Jun</x:v>
      </x:c>
      <x:c r="D147" t="str">
        <x:v>2025</x:v>
      </x:c>
      <x:c r="E147" t="str">
        <x:v>Mão de Obra</x:v>
      </x:c>
      <x:c r="F147" t="str">
        <x:v>Mão de Obra</x:v>
      </x:c>
      <x:c r="G147" t="str">
        <x:v>Roçada</x:v>
      </x:c>
      <x:c r="H147" t="str">
        <x:v>Roçada</x:v>
      </x:c>
      <x:c r="I147" s="10" t="n">
        <x:v>10.02</x:v>
      </x:c>
      <x:c r="J147" t="str">
        <x:v>Hora</x:v>
      </x:c>
      <x:c r="K147" s="8" t="n">
        <x:v>22</x:v>
      </x:c>
      <x:c r="L147" s="8" t="n">
        <x:v>220.44</x:v>
      </x:c>
      <x:c r="M147" t="str">
        <x:v>José da Silva</x:v>
      </x:c>
      <x:c r="N147" t="str">
        <x:v>Poço 04</x:v>
      </x:c>
      <x:c r="O147" t="str">
        <x:v>Não</x:v>
      </x:c>
      <x:c r="P147" t="str">
        <x:v>Dado fictício para demonstração</x:v>
      </x:c>
    </x:row>
    <x:row r="148">
      <x:c r="A148" s="6" t="n">
        <x:v>45831</x:v>
      </x:c>
      <x:c r="B148" t="n">
        <x:v>2025</x:v>
      </x:c>
      <x:c r="C148" t="str">
        <x:v>Jun</x:v>
      </x:c>
      <x:c r="D148" t="str">
        <x:v>2025</x:v>
      </x:c>
      <x:c r="E148" t="str">
        <x:v>Mão de Obra</x:v>
      </x:c>
      <x:c r="F148" t="str">
        <x:v>Mão de Obra</x:v>
      </x:c>
      <x:c r="G148" t="str">
        <x:v>Roçada</x:v>
      </x:c>
      <x:c r="H148" t="str">
        <x:v>Roçada</x:v>
      </x:c>
      <x:c r="I148" s="10" t="n">
        <x:v>9.51</x:v>
      </x:c>
      <x:c r="J148" t="str">
        <x:v>Hora</x:v>
      </x:c>
      <x:c r="K148" s="8" t="n">
        <x:v>22</x:v>
      </x:c>
      <x:c r="L148" s="8" t="n">
        <x:v>209.22</x:v>
      </x:c>
      <x:c r="M148" t="str">
        <x:v>João Santos</x:v>
      </x:c>
      <x:c r="N148" t="str">
        <x:v>Poço 04</x:v>
      </x:c>
      <x:c r="O148" t="str">
        <x:v>Não</x:v>
      </x:c>
      <x:c r="P148" t="str">
        <x:v>Dado fictício para demonstração</x:v>
      </x:c>
    </x:row>
    <x:row r="149">
      <x:c r="A149" s="6" t="n">
        <x:v>45831</x:v>
      </x:c>
      <x:c r="B149" t="n">
        <x:v>2025</x:v>
      </x:c>
      <x:c r="C149" t="str">
        <x:v>Jun</x:v>
      </x:c>
      <x:c r="D149" t="str">
        <x:v>2025</x:v>
      </x:c>
      <x:c r="E149" t="str">
        <x:v>Custos Gerais</x:v>
      </x:c>
      <x:c r="F149" t="str">
        <x:v>Custos Gerais</x:v>
      </x:c>
      <x:c r="G149" t="str">
        <x:v>Peças e reparos</x:v>
      </x:c>
      <x:c r="H149" t="str">
        <x:v>Manutenção</x:v>
      </x:c>
      <x:c r="I149" s="10" t="n">
        <x:v>1.9</x:v>
      </x:c>
      <x:c r="J149" t="str">
        <x:v>UN</x:v>
      </x:c>
      <x:c r="K149" s="8" t="n">
        <x:v>280</x:v>
      </x:c>
      <x:c r="L149" s="8" t="n">
        <x:v>532</x:v>
      </x:c>
      <x:c r="M149" t="str">
        <x:v>-</x:v>
      </x:c>
      <x:c r="N149" t="str">
        <x:v>Poço 02</x:v>
      </x:c>
      <x:c r="O149" t="str">
        <x:v>Não</x:v>
      </x:c>
      <x:c r="P149" t="str">
        <x:v>Dado fictício para demonstração</x:v>
      </x:c>
    </x:row>
    <x:row r="150">
      <x:c r="A150" s="6" t="n">
        <x:v>45832</x:v>
      </x:c>
      <x:c r="B150" t="n">
        <x:v>2025</x:v>
      </x:c>
      <x:c r="C150" t="str">
        <x:v>Jun</x:v>
      </x:c>
      <x:c r="D150" t="str">
        <x:v>2025</x:v>
      </x:c>
      <x:c r="E150" t="str">
        <x:v>Insumos</x:v>
      </x:c>
      <x:c r="F150" t="str">
        <x:v>Insumos</x:v>
      </x:c>
      <x:c r="G150" t="str">
        <x:v>Cobre Recop</x:v>
      </x:c>
      <x:c r="H150" t="str">
        <x:v>Cancro</x:v>
      </x:c>
      <x:c r="I150" s="10" t="n">
        <x:v>17.58</x:v>
      </x:c>
      <x:c r="J150" t="str">
        <x:v>KG</x:v>
      </x:c>
      <x:c r="K150" s="8" t="n">
        <x:v>67.5</x:v>
      </x:c>
      <x:c r="L150" s="8" t="n">
        <x:v>1186.65</x:v>
      </x:c>
      <x:c r="M150" t="str">
        <x:v>-</x:v>
      </x:c>
      <x:c r="N150" t="str">
        <x:v>Poço 02</x:v>
      </x:c>
      <x:c r="O150" t="str">
        <x:v>Não</x:v>
      </x:c>
      <x:c r="P150" t="str">
        <x:v>Dado fictício para demonstração</x:v>
      </x:c>
    </x:row>
    <x:row r="151">
      <x:c r="A151" s="6" t="n">
        <x:v>45836</x:v>
      </x:c>
      <x:c r="B151" t="n">
        <x:v>2025</x:v>
      </x:c>
      <x:c r="C151" t="str">
        <x:v>Jun</x:v>
      </x:c>
      <x:c r="D151" t="str">
        <x:v>2025</x:v>
      </x:c>
      <x:c r="E151" t="str">
        <x:v>Produção</x:v>
      </x:c>
      <x:c r="F151" t="str">
        <x:v>Produção</x:v>
      </x:c>
      <x:c r="G151" t="str">
        <x:v>Caixas de Limão</x:v>
      </x:c>
      <x:c r="H151" t="str">
        <x:v>Produção mensal</x:v>
      </x:c>
      <x:c r="I151" s="10" t="n">
        <x:v>673</x:v>
      </x:c>
      <x:c r="J151" t="str">
        <x:v>CX</x:v>
      </x:c>
      <x:c r="K151" s="8" t="n">
        <x:v>0</x:v>
      </x:c>
      <x:c r="L151" s="8" t="n">
        <x:v>0</x:v>
      </x:c>
      <x:c r="M151" t="str">
        <x:v>-</x:v>
      </x:c>
      <x:c r="N151" t="str">
        <x:v>Geral</x:v>
      </x:c>
      <x:c r="O151" t="str">
        <x:v>Não</x:v>
      </x:c>
      <x:c r="P151" t="str">
        <x:v>Produção fictícia: 673 caixas</x:v>
      </x:c>
    </x:row>
    <x:row r="152">
      <x:c r="A152" s="6" t="n">
        <x:v>45839</x:v>
      </x:c>
      <x:c r="B152" t="n">
        <x:v>2025</x:v>
      </x:c>
      <x:c r="C152" t="str">
        <x:v>Jul</x:v>
      </x:c>
      <x:c r="D152" t="str">
        <x:v>2025</x:v>
      </x:c>
      <x:c r="E152" t="str">
        <x:v>Insumos</x:v>
      </x:c>
      <x:c r="F152" t="str">
        <x:v>Insumos</x:v>
      </x:c>
      <x:c r="G152" t="str">
        <x:v>Cobre Recop</x:v>
      </x:c>
      <x:c r="H152" t="str">
        <x:v>Cancro</x:v>
      </x:c>
      <x:c r="I152" s="10" t="n">
        <x:v>15.19</x:v>
      </x:c>
      <x:c r="J152" t="str">
        <x:v>KG</x:v>
      </x:c>
      <x:c r="K152" s="8" t="n">
        <x:v>67.5</x:v>
      </x:c>
      <x:c r="L152" s="8" t="n">
        <x:v>1025.33</x:v>
      </x:c>
      <x:c r="M152" t="str">
        <x:v>-</x:v>
      </x:c>
      <x:c r="N152" t="str">
        <x:v>Poço 04</x:v>
      </x:c>
      <x:c r="O152" t="str">
        <x:v>Não</x:v>
      </x:c>
      <x:c r="P152" t="str">
        <x:v>Dado fictício para demonstração</x:v>
      </x:c>
    </x:row>
    <x:row r="153">
      <x:c r="A153" s="6" t="n">
        <x:v>45840</x:v>
      </x:c>
      <x:c r="B153" t="n">
        <x:v>2025</x:v>
      </x:c>
      <x:c r="C153" t="str">
        <x:v>Jul</x:v>
      </x:c>
      <x:c r="D153" t="str">
        <x:v>2025</x:v>
      </x:c>
      <x:c r="E153" t="str">
        <x:v>Insumos</x:v>
      </x:c>
      <x:c r="F153" t="str">
        <x:v>Insumos</x:v>
      </x:c>
      <x:c r="G153" t="str">
        <x:v>Cobre Recop</x:v>
      </x:c>
      <x:c r="H153" t="str">
        <x:v>Cancro</x:v>
      </x:c>
      <x:c r="I153" s="10" t="n">
        <x:v>11.3</x:v>
      </x:c>
      <x:c r="J153" t="str">
        <x:v>KG</x:v>
      </x:c>
      <x:c r="K153" s="8" t="n">
        <x:v>67.5</x:v>
      </x:c>
      <x:c r="L153" s="8" t="n">
        <x:v>762.75</x:v>
      </x:c>
      <x:c r="M153" t="str">
        <x:v>-</x:v>
      </x:c>
      <x:c r="N153" t="str">
        <x:v>Poço 03</x:v>
      </x:c>
      <x:c r="O153" t="str">
        <x:v>Não</x:v>
      </x:c>
      <x:c r="P153" t="str">
        <x:v>Dado fictício para demonstração</x:v>
      </x:c>
    </x:row>
    <x:row r="154">
      <x:c r="A154" s="6" t="n">
        <x:v>45843</x:v>
      </x:c>
      <x:c r="B154" t="n">
        <x:v>2025</x:v>
      </x:c>
      <x:c r="C154" t="str">
        <x:v>Jul</x:v>
      </x:c>
      <x:c r="D154" t="str">
        <x:v>2025</x:v>
      </x:c>
      <x:c r="E154" t="str">
        <x:v>Insumos</x:v>
      </x:c>
      <x:c r="F154" t="str">
        <x:v>Insumos</x:v>
      </x:c>
      <x:c r="G154" t="str">
        <x:v>Adubo 20.00.20</x:v>
      </x:c>
      <x:c r="H154" t="str">
        <x:v>Adubação</x:v>
      </x:c>
      <x:c r="I154" s="10" t="n">
        <x:v>32.43</x:v>
      </x:c>
      <x:c r="J154" t="str">
        <x:v>KG</x:v>
      </x:c>
      <x:c r="K154" s="8" t="n">
        <x:v>25</x:v>
      </x:c>
      <x:c r="L154" s="8" t="n">
        <x:v>810.75</x:v>
      </x:c>
      <x:c r="M154" t="str">
        <x:v>-</x:v>
      </x:c>
      <x:c r="N154" t="str">
        <x:v>Poço 04</x:v>
      </x:c>
      <x:c r="O154" t="str">
        <x:v>Não</x:v>
      </x:c>
      <x:c r="P154" t="str">
        <x:v>Dado fictício para demonstração</x:v>
      </x:c>
    </x:row>
    <x:row r="155">
      <x:c r="A155" s="6" t="n">
        <x:v>45844</x:v>
      </x:c>
      <x:c r="B155" t="n">
        <x:v>2025</x:v>
      </x:c>
      <x:c r="C155" t="str">
        <x:v>Jul</x:v>
      </x:c>
      <x:c r="D155" t="str">
        <x:v>2025</x:v>
      </x:c>
      <x:c r="E155" t="str">
        <x:v>Insumos</x:v>
      </x:c>
      <x:c r="F155" t="str">
        <x:v>Insumos</x:v>
      </x:c>
      <x:c r="G155" t="str">
        <x:v>Adubo 20.00.20</x:v>
      </x:c>
      <x:c r="H155" t="str">
        <x:v>Adubação</x:v>
      </x:c>
      <x:c r="I155" s="10" t="n">
        <x:v>26.85</x:v>
      </x:c>
      <x:c r="J155" t="str">
        <x:v>KG</x:v>
      </x:c>
      <x:c r="K155" s="8" t="n">
        <x:v>25</x:v>
      </x:c>
      <x:c r="L155" s="8" t="n">
        <x:v>671.25</x:v>
      </x:c>
      <x:c r="M155" t="str">
        <x:v>-</x:v>
      </x:c>
      <x:c r="N155" t="str">
        <x:v>Poço 04</x:v>
      </x:c>
      <x:c r="O155" t="str">
        <x:v>Não</x:v>
      </x:c>
      <x:c r="P155" t="str">
        <x:v>Dado fictício para demonstração</x:v>
      </x:c>
    </x:row>
    <x:row r="156">
      <x:c r="A156" s="6" t="n">
        <x:v>45845</x:v>
      </x:c>
      <x:c r="B156" t="n">
        <x:v>2025</x:v>
      </x:c>
      <x:c r="C156" t="str">
        <x:v>Jul</x:v>
      </x:c>
      <x:c r="D156" t="str">
        <x:v>2025</x:v>
      </x:c>
      <x:c r="E156" t="str">
        <x:v>Mão de Obra</x:v>
      </x:c>
      <x:c r="F156" t="str">
        <x:v>Mão de Obra</x:v>
      </x:c>
      <x:c r="G156" t="str">
        <x:v>Pulverização</x:v>
      </x:c>
      <x:c r="H156" t="str">
        <x:v>Pulverização</x:v>
      </x:c>
      <x:c r="I156" s="10" t="n">
        <x:v>13.86</x:v>
      </x:c>
      <x:c r="J156" t="str">
        <x:v>Hora</x:v>
      </x:c>
      <x:c r="K156" s="8" t="n">
        <x:v>25</x:v>
      </x:c>
      <x:c r="L156" s="8" t="n">
        <x:v>346.5</x:v>
      </x:c>
      <x:c r="M156" t="str">
        <x:v>Lucas Pereira</x:v>
      </x:c>
      <x:c r="N156" t="str">
        <x:v>Poço 01</x:v>
      </x:c>
      <x:c r="O156" t="str">
        <x:v>Não</x:v>
      </x:c>
      <x:c r="P156" t="str">
        <x:v>Dado fictício para demonstração</x:v>
      </x:c>
    </x:row>
    <x:row r="157">
      <x:c r="A157" s="6" t="n">
        <x:v>45845</x:v>
      </x:c>
      <x:c r="B157" t="n">
        <x:v>2025</x:v>
      </x:c>
      <x:c r="C157" t="str">
        <x:v>Jul</x:v>
      </x:c>
      <x:c r="D157" t="str">
        <x:v>2025</x:v>
      </x:c>
      <x:c r="E157" t="str">
        <x:v>Mão de Obra</x:v>
      </x:c>
      <x:c r="F157" t="str">
        <x:v>Mão de Obra</x:v>
      </x:c>
      <x:c r="G157" t="str">
        <x:v>Irrigação</x:v>
      </x:c>
      <x:c r="H157" t="str">
        <x:v>Irrigação</x:v>
      </x:c>
      <x:c r="I157" s="10" t="n">
        <x:v>9.79</x:v>
      </x:c>
      <x:c r="J157" t="str">
        <x:v>Hora</x:v>
      </x:c>
      <x:c r="K157" s="8" t="n">
        <x:v>23</x:v>
      </x:c>
      <x:c r="L157" s="8" t="n">
        <x:v>225.17</x:v>
      </x:c>
      <x:c r="M157" t="str">
        <x:v>Carlos Alberto</x:v>
      </x:c>
      <x:c r="N157" t="str">
        <x:v>Poço 04</x:v>
      </x:c>
      <x:c r="O157" t="str">
        <x:v>Não</x:v>
      </x:c>
      <x:c r="P157" t="str">
        <x:v>Dado fictício para demonstração</x:v>
      </x:c>
    </x:row>
    <x:row r="158">
      <x:c r="A158" s="6" t="n">
        <x:v>45847</x:v>
      </x:c>
      <x:c r="B158" t="n">
        <x:v>2025</x:v>
      </x:c>
      <x:c r="C158" t="str">
        <x:v>Jul</x:v>
      </x:c>
      <x:c r="D158" t="str">
        <x:v>2025</x:v>
      </x:c>
      <x:c r="E158" t="str">
        <x:v>Insumos</x:v>
      </x:c>
      <x:c r="F158" t="str">
        <x:v>Insumos</x:v>
      </x:c>
      <x:c r="G158" t="str">
        <x:v>Esterco de Gado</x:v>
      </x:c>
      <x:c r="H158" t="str">
        <x:v>Adubação</x:v>
      </x:c>
      <x:c r="I158" s="10" t="n">
        <x:v>2.93</x:v>
      </x:c>
      <x:c r="J158" t="str">
        <x:v>TON</x:v>
      </x:c>
      <x:c r="K158" s="8" t="n">
        <x:v>490</x:v>
      </x:c>
      <x:c r="L158" s="8" t="n">
        <x:v>1435.7</x:v>
      </x:c>
      <x:c r="M158" t="str">
        <x:v>-</x:v>
      </x:c>
      <x:c r="N158" t="str">
        <x:v>Poço 01</x:v>
      </x:c>
      <x:c r="O158" t="str">
        <x:v>Não</x:v>
      </x:c>
      <x:c r="P158" t="str">
        <x:v>Dado fictício para demonstração</x:v>
      </x:c>
    </x:row>
    <x:row r="159">
      <x:c r="A159" s="6" t="n">
        <x:v>45849</x:v>
      </x:c>
      <x:c r="B159" t="n">
        <x:v>2025</x:v>
      </x:c>
      <x:c r="C159" t="str">
        <x:v>Jul</x:v>
      </x:c>
      <x:c r="D159" t="str">
        <x:v>2025</x:v>
      </x:c>
      <x:c r="E159" t="str">
        <x:v>Insumos</x:v>
      </x:c>
      <x:c r="F159" t="str">
        <x:v>Insumos</x:v>
      </x:c>
      <x:c r="G159" t="str">
        <x:v>Esterco de Gado</x:v>
      </x:c>
      <x:c r="H159" t="str">
        <x:v>Adubação</x:v>
      </x:c>
      <x:c r="I159" s="10" t="n">
        <x:v>5.02</x:v>
      </x:c>
      <x:c r="J159" t="str">
        <x:v>TON</x:v>
      </x:c>
      <x:c r="K159" s="8" t="n">
        <x:v>490</x:v>
      </x:c>
      <x:c r="L159" s="8" t="n">
        <x:v>2459.8</x:v>
      </x:c>
      <x:c r="M159" t="str">
        <x:v>-</x:v>
      </x:c>
      <x:c r="N159" t="str">
        <x:v>Poço 01</x:v>
      </x:c>
      <x:c r="O159" t="str">
        <x:v>Não</x:v>
      </x:c>
      <x:c r="P159" t="str">
        <x:v>Dado fictício para demonstração</x:v>
      </x:c>
    </x:row>
    <x:row r="160">
      <x:c r="A160" s="6" t="n">
        <x:v>45850</x:v>
      </x:c>
      <x:c r="B160" t="n">
        <x:v>2025</x:v>
      </x:c>
      <x:c r="C160" t="str">
        <x:v>Jul</x:v>
      </x:c>
      <x:c r="D160" t="str">
        <x:v>2025</x:v>
      </x:c>
      <x:c r="E160" t="str">
        <x:v>Insumos</x:v>
      </x:c>
      <x:c r="F160" t="str">
        <x:v>Insumos</x:v>
      </x:c>
      <x:c r="G160" t="str">
        <x:v>Bórax</x:v>
      </x:c>
      <x:c r="H160" t="str">
        <x:v>Nutrição</x:v>
      </x:c>
      <x:c r="I160" s="10" t="n">
        <x:v>8.21</x:v>
      </x:c>
      <x:c r="J160" t="str">
        <x:v>KG</x:v>
      </x:c>
      <x:c r="K160" s="8" t="n">
        <x:v>35.6</x:v>
      </x:c>
      <x:c r="L160" s="8" t="n">
        <x:v>292.28</x:v>
      </x:c>
      <x:c r="M160" t="str">
        <x:v>-</x:v>
      </x:c>
      <x:c r="N160" t="str">
        <x:v>Poço 01</x:v>
      </x:c>
      <x:c r="O160" t="str">
        <x:v>Não</x:v>
      </x:c>
      <x:c r="P160" t="str">
        <x:v>Dado fictício para demonstração</x:v>
      </x:c>
    </x:row>
    <x:row r="161">
      <x:c r="A161" s="6" t="n">
        <x:v>45851</x:v>
      </x:c>
      <x:c r="B161" t="n">
        <x:v>2025</x:v>
      </x:c>
      <x:c r="C161" t="str">
        <x:v>Jul</x:v>
      </x:c>
      <x:c r="D161" t="str">
        <x:v>2025</x:v>
      </x:c>
      <x:c r="E161" t="str">
        <x:v>Mão de Obra</x:v>
      </x:c>
      <x:c r="F161" t="str">
        <x:v>Mão de Obra</x:v>
      </x:c>
      <x:c r="G161" t="str">
        <x:v>Pulverização</x:v>
      </x:c>
      <x:c r="H161" t="str">
        <x:v>Pulverização</x:v>
      </x:c>
      <x:c r="I161" s="10" t="n">
        <x:v>7.89</x:v>
      </x:c>
      <x:c r="J161" t="str">
        <x:v>Hora</x:v>
      </x:c>
      <x:c r="K161" s="8" t="n">
        <x:v>25</x:v>
      </x:c>
      <x:c r="L161" s="8" t="n">
        <x:v>197.25</x:v>
      </x:c>
      <x:c r="M161" t="str">
        <x:v>Pedro Oliveira</x:v>
      </x:c>
      <x:c r="N161" t="str">
        <x:v>Poço 01</x:v>
      </x:c>
      <x:c r="O161" t="str">
        <x:v>Não</x:v>
      </x:c>
      <x:c r="P161" t="str">
        <x:v>Dado fictício para demonstração</x:v>
      </x:c>
    </x:row>
    <x:row r="162">
      <x:c r="A162" s="6" t="n">
        <x:v>45852</x:v>
      </x:c>
      <x:c r="B162" t="n">
        <x:v>2025</x:v>
      </x:c>
      <x:c r="C162" t="str">
        <x:v>Jul</x:v>
      </x:c>
      <x:c r="D162" t="str">
        <x:v>2025</x:v>
      </x:c>
      <x:c r="E162" t="str">
        <x:v>Insumos</x:v>
      </x:c>
      <x:c r="F162" t="str">
        <x:v>Insumos</x:v>
      </x:c>
      <x:c r="G162" t="str">
        <x:v>Esterco de Gado</x:v>
      </x:c>
      <x:c r="H162" t="str">
        <x:v>Adubação</x:v>
      </x:c>
      <x:c r="I162" s="10" t="n">
        <x:v>2.64</x:v>
      </x:c>
      <x:c r="J162" t="str">
        <x:v>TON</x:v>
      </x:c>
      <x:c r="K162" s="8" t="n">
        <x:v>490</x:v>
      </x:c>
      <x:c r="L162" s="8" t="n">
        <x:v>1293.6</x:v>
      </x:c>
      <x:c r="M162" t="str">
        <x:v>-</x:v>
      </x:c>
      <x:c r="N162" t="str">
        <x:v>Poço 03</x:v>
      </x:c>
      <x:c r="O162" t="str">
        <x:v>Não</x:v>
      </x:c>
      <x:c r="P162" t="str">
        <x:v>Dado fictício para demonstração</x:v>
      </x:c>
    </x:row>
    <x:row r="163">
      <x:c r="A163" s="6" t="n">
        <x:v>45853</x:v>
      </x:c>
      <x:c r="B163" t="n">
        <x:v>2025</x:v>
      </x:c>
      <x:c r="C163" t="str">
        <x:v>Jul</x:v>
      </x:c>
      <x:c r="D163" t="str">
        <x:v>2025</x:v>
      </x:c>
      <x:c r="E163" t="str">
        <x:v>Insumos</x:v>
      </x:c>
      <x:c r="F163" t="str">
        <x:v>Insumos</x:v>
      </x:c>
      <x:c r="G163" t="str">
        <x:v>Vertimec</x:v>
      </x:c>
      <x:c r="H163" t="str">
        <x:v>Defensivos</x:v>
      </x:c>
      <x:c r="I163" s="10" t="n">
        <x:v>1.73</x:v>
      </x:c>
      <x:c r="J163" t="str">
        <x:v>LT</x:v>
      </x:c>
      <x:c r="K163" s="8" t="n">
        <x:v>630</x:v>
      </x:c>
      <x:c r="L163" s="8" t="n">
        <x:v>1089.9</x:v>
      </x:c>
      <x:c r="M163" t="str">
        <x:v>-</x:v>
      </x:c>
      <x:c r="N163" t="str">
        <x:v>Poço 02</x:v>
      </x:c>
      <x:c r="O163" t="str">
        <x:v>Não</x:v>
      </x:c>
      <x:c r="P163" t="str">
        <x:v>Dado fictício para demonstração</x:v>
      </x:c>
    </x:row>
    <x:row r="164">
      <x:c r="A164" s="6" t="n">
        <x:v>45854</x:v>
      </x:c>
      <x:c r="B164" t="n">
        <x:v>2025</x:v>
      </x:c>
      <x:c r="C164" t="str">
        <x:v>Jul</x:v>
      </x:c>
      <x:c r="D164" t="str">
        <x:v>2025</x:v>
      </x:c>
      <x:c r="E164" t="str">
        <x:v>Mão de Obra</x:v>
      </x:c>
      <x:c r="F164" t="str">
        <x:v>Mão de Obra</x:v>
      </x:c>
      <x:c r="G164" t="str">
        <x:v>Aplicação de herbicida</x:v>
      </x:c>
      <x:c r="H164" t="str">
        <x:v>Herbicida</x:v>
      </x:c>
      <x:c r="I164" s="10" t="n">
        <x:v>9.13</x:v>
      </x:c>
      <x:c r="J164" t="str">
        <x:v>Hora</x:v>
      </x:c>
      <x:c r="K164" s="8" t="n">
        <x:v>26</x:v>
      </x:c>
      <x:c r="L164" s="8" t="n">
        <x:v>237.38</x:v>
      </x:c>
      <x:c r="M164" t="str">
        <x:v>Daniel Costa</x:v>
      </x:c>
      <x:c r="N164" t="str">
        <x:v>Poço 03</x:v>
      </x:c>
      <x:c r="O164" t="str">
        <x:v>Não</x:v>
      </x:c>
      <x:c r="P164" t="str">
        <x:v>Dado fictício para demonstração</x:v>
      </x:c>
    </x:row>
    <x:row r="165">
      <x:c r="A165" s="6" t="n">
        <x:v>45854</x:v>
      </x:c>
      <x:c r="B165" t="n">
        <x:v>2025</x:v>
      </x:c>
      <x:c r="C165" t="str">
        <x:v>Jul</x:v>
      </x:c>
      <x:c r="D165" t="str">
        <x:v>2025</x:v>
      </x:c>
      <x:c r="E165" t="str">
        <x:v>Mão de Obra</x:v>
      </x:c>
      <x:c r="F165" t="str">
        <x:v>Mão de Obra</x:v>
      </x:c>
      <x:c r="G165" t="str">
        <x:v>Pulverização</x:v>
      </x:c>
      <x:c r="H165" t="str">
        <x:v>Pulverização</x:v>
      </x:c>
      <x:c r="I165" s="10" t="n">
        <x:v>13.78</x:v>
      </x:c>
      <x:c r="J165" t="str">
        <x:v>Hora</x:v>
      </x:c>
      <x:c r="K165" s="8" t="n">
        <x:v>25</x:v>
      </x:c>
      <x:c r="L165" s="8" t="n">
        <x:v>344.5</x:v>
      </x:c>
      <x:c r="M165" t="str">
        <x:v>João Santos</x:v>
      </x:c>
      <x:c r="N165" t="str">
        <x:v>Poço 02</x:v>
      </x:c>
      <x:c r="O165" t="str">
        <x:v>Não</x:v>
      </x:c>
      <x:c r="P165" t="str">
        <x:v>Dado fictício para demonstração</x:v>
      </x:c>
    </x:row>
    <x:row r="166">
      <x:c r="A166" s="6" t="n">
        <x:v>45856</x:v>
      </x:c>
      <x:c r="B166" t="n">
        <x:v>2025</x:v>
      </x:c>
      <x:c r="C166" t="str">
        <x:v>Jul</x:v>
      </x:c>
      <x:c r="D166" t="str">
        <x:v>2025</x:v>
      </x:c>
      <x:c r="E166" t="str">
        <x:v>Insumos</x:v>
      </x:c>
      <x:c r="F166" t="str">
        <x:v>Insumos</x:v>
      </x:c>
      <x:c r="G166" t="str">
        <x:v>Bórax</x:v>
      </x:c>
      <x:c r="H166" t="str">
        <x:v>Nutrição</x:v>
      </x:c>
      <x:c r="I166" s="10" t="n">
        <x:v>20.99</x:v>
      </x:c>
      <x:c r="J166" t="str">
        <x:v>KG</x:v>
      </x:c>
      <x:c r="K166" s="8" t="n">
        <x:v>35.6</x:v>
      </x:c>
      <x:c r="L166" s="8" t="n">
        <x:v>747.24</x:v>
      </x:c>
      <x:c r="M166" t="str">
        <x:v>-</x:v>
      </x:c>
      <x:c r="N166" t="str">
        <x:v>Poço 01</x:v>
      </x:c>
      <x:c r="O166" t="str">
        <x:v>Não</x:v>
      </x:c>
      <x:c r="P166" t="str">
        <x:v>Dado fictício para demonstração</x:v>
      </x:c>
    </x:row>
    <x:row r="167">
      <x:c r="A167" s="6" t="n">
        <x:v>45857</x:v>
      </x:c>
      <x:c r="B167" t="n">
        <x:v>2025</x:v>
      </x:c>
      <x:c r="C167" t="str">
        <x:v>Jul</x:v>
      </x:c>
      <x:c r="D167" t="str">
        <x:v>2025</x:v>
      </x:c>
      <x:c r="E167" t="str">
        <x:v>Mão de Obra</x:v>
      </x:c>
      <x:c r="F167" t="str">
        <x:v>Mão de Obra</x:v>
      </x:c>
      <x:c r="G167" t="str">
        <x:v>Irrigação</x:v>
      </x:c>
      <x:c r="H167" t="str">
        <x:v>Irrigação</x:v>
      </x:c>
      <x:c r="I167" s="10" t="n">
        <x:v>8.39</x:v>
      </x:c>
      <x:c r="J167" t="str">
        <x:v>Hora</x:v>
      </x:c>
      <x:c r="K167" s="8" t="n">
        <x:v>23</x:v>
      </x:c>
      <x:c r="L167" s="8" t="n">
        <x:v>192.97</x:v>
      </x:c>
      <x:c r="M167" t="str">
        <x:v>Carlos Alberto</x:v>
      </x:c>
      <x:c r="N167" t="str">
        <x:v>Poço 03</x:v>
      </x:c>
      <x:c r="O167" t="str">
        <x:v>Não</x:v>
      </x:c>
      <x:c r="P167" t="str">
        <x:v>Dado fictício para demonstração</x:v>
      </x:c>
    </x:row>
    <x:row r="168">
      <x:c r="A168" s="6" t="n">
        <x:v>45859</x:v>
      </x:c>
      <x:c r="B168" t="n">
        <x:v>2025</x:v>
      </x:c>
      <x:c r="C168" t="str">
        <x:v>Jul</x:v>
      </x:c>
      <x:c r="D168" t="str">
        <x:v>2025</x:v>
      </x:c>
      <x:c r="E168" t="str">
        <x:v>Mão de Obra</x:v>
      </x:c>
      <x:c r="F168" t="str">
        <x:v>Mão de Obra</x:v>
      </x:c>
      <x:c r="G168" t="str">
        <x:v>Irrigação</x:v>
      </x:c>
      <x:c r="H168" t="str">
        <x:v>Irrigação</x:v>
      </x:c>
      <x:c r="I168" s="10" t="n">
        <x:v>5.36</x:v>
      </x:c>
      <x:c r="J168" t="str">
        <x:v>Hora</x:v>
      </x:c>
      <x:c r="K168" s="8" t="n">
        <x:v>23</x:v>
      </x:c>
      <x:c r="L168" s="8" t="n">
        <x:v>123.28</x:v>
      </x:c>
      <x:c r="M168" t="str">
        <x:v>Lucas Pereira</x:v>
      </x:c>
      <x:c r="N168" t="str">
        <x:v>Poço 02</x:v>
      </x:c>
      <x:c r="O168" t="str">
        <x:v>Não</x:v>
      </x:c>
      <x:c r="P168" t="str">
        <x:v>Dado fictício para demonstração</x:v>
      </x:c>
    </x:row>
    <x:row r="169">
      <x:c r="A169" s="6" t="n">
        <x:v>45859</x:v>
      </x:c>
      <x:c r="B169" t="n">
        <x:v>2025</x:v>
      </x:c>
      <x:c r="C169" t="str">
        <x:v>Jul</x:v>
      </x:c>
      <x:c r="D169" t="str">
        <x:v>2025</x:v>
      </x:c>
      <x:c r="E169" t="str">
        <x:v>Custos Gerais</x:v>
      </x:c>
      <x:c r="F169" t="str">
        <x:v>Custos Gerais</x:v>
      </x:c>
      <x:c r="G169" t="str">
        <x:v>Manutenção de bomba</x:v>
      </x:c>
      <x:c r="H169" t="str">
        <x:v>Manutenção</x:v>
      </x:c>
      <x:c r="I169" s="10" t="n">
        <x:v>1.6</x:v>
      </x:c>
      <x:c r="J169" t="str">
        <x:v>UN</x:v>
      </x:c>
      <x:c r="K169" s="8" t="n">
        <x:v>450</x:v>
      </x:c>
      <x:c r="L169" s="8" t="n">
        <x:v>720</x:v>
      </x:c>
      <x:c r="M169" t="str">
        <x:v>-</x:v>
      </x:c>
      <x:c r="N169" t="str">
        <x:v>Poço 02</x:v>
      </x:c>
      <x:c r="O169" t="str">
        <x:v>Não</x:v>
      </x:c>
      <x:c r="P169" t="str">
        <x:v>Dado fictício para demonstração</x:v>
      </x:c>
    </x:row>
    <x:row r="170">
      <x:c r="A170" s="6" t="n">
        <x:v>45860</x:v>
      </x:c>
      <x:c r="B170" t="n">
        <x:v>2025</x:v>
      </x:c>
      <x:c r="C170" t="str">
        <x:v>Jul</x:v>
      </x:c>
      <x:c r="D170" t="str">
        <x:v>2025</x:v>
      </x:c>
      <x:c r="E170" t="str">
        <x:v>Mão de Obra</x:v>
      </x:c>
      <x:c r="F170" t="str">
        <x:v>Mão de Obra</x:v>
      </x:c>
      <x:c r="G170" t="str">
        <x:v>Capina</x:v>
      </x:c>
      <x:c r="H170" t="str">
        <x:v>Capina</x:v>
      </x:c>
      <x:c r="I170" s="10" t="n">
        <x:v>12.4</x:v>
      </x:c>
      <x:c r="J170" t="str">
        <x:v>Hora</x:v>
      </x:c>
      <x:c r="K170" s="8" t="n">
        <x:v>22</x:v>
      </x:c>
      <x:c r="L170" s="8" t="n">
        <x:v>272.8</x:v>
      </x:c>
      <x:c r="M170" t="str">
        <x:v>Lucas Pereira</x:v>
      </x:c>
      <x:c r="N170" t="str">
        <x:v>Poço 04</x:v>
      </x:c>
      <x:c r="O170" t="str">
        <x:v>Não</x:v>
      </x:c>
      <x:c r="P170" t="str">
        <x:v>Dado fictício para demonstração</x:v>
      </x:c>
    </x:row>
    <x:row r="171">
      <x:c r="A171" s="6" t="n">
        <x:v>45862</x:v>
      </x:c>
      <x:c r="B171" t="n">
        <x:v>2025</x:v>
      </x:c>
      <x:c r="C171" t="str">
        <x:v>Jul</x:v>
      </x:c>
      <x:c r="D171" t="str">
        <x:v>2025</x:v>
      </x:c>
      <x:c r="E171" t="str">
        <x:v>Mão de Obra</x:v>
      </x:c>
      <x:c r="F171" t="str">
        <x:v>Mão de Obra</x:v>
      </x:c>
      <x:c r="G171" t="str">
        <x:v>Capina</x:v>
      </x:c>
      <x:c r="H171" t="str">
        <x:v>Capina</x:v>
      </x:c>
      <x:c r="I171" s="10" t="n">
        <x:v>9.65</x:v>
      </x:c>
      <x:c r="J171" t="str">
        <x:v>Hora</x:v>
      </x:c>
      <x:c r="K171" s="8" t="n">
        <x:v>22</x:v>
      </x:c>
      <x:c r="L171" s="8" t="n">
        <x:v>212.3</x:v>
      </x:c>
      <x:c r="M171" t="str">
        <x:v>João Santos</x:v>
      </x:c>
      <x:c r="N171" t="str">
        <x:v>Poço 02</x:v>
      </x:c>
      <x:c r="O171" t="str">
        <x:v>Não</x:v>
      </x:c>
      <x:c r="P171" t="str">
        <x:v>Dado fictício para demonstração</x:v>
      </x:c>
    </x:row>
    <x:row r="172">
      <x:c r="A172" s="6" t="n">
        <x:v>45862</x:v>
      </x:c>
      <x:c r="B172" t="n">
        <x:v>2025</x:v>
      </x:c>
      <x:c r="C172" t="str">
        <x:v>Jul</x:v>
      </x:c>
      <x:c r="D172" t="str">
        <x:v>2025</x:v>
      </x:c>
      <x:c r="E172" t="str">
        <x:v>Custos Gerais</x:v>
      </x:c>
      <x:c r="F172" t="str">
        <x:v>Custos Gerais</x:v>
      </x:c>
      <x:c r="G172" t="str">
        <x:v>Combustível</x:v>
      </x:c>
      <x:c r="H172" t="str">
        <x:v>Máquinas</x:v>
      </x:c>
      <x:c r="I172" s="10" t="n">
        <x:v>47.03</x:v>
      </x:c>
      <x:c r="J172" t="str">
        <x:v>LT</x:v>
      </x:c>
      <x:c r="K172" s="8" t="n">
        <x:v>6.2</x:v>
      </x:c>
      <x:c r="L172" s="8" t="n">
        <x:v>291.59</x:v>
      </x:c>
      <x:c r="M172" t="str">
        <x:v>-</x:v>
      </x:c>
      <x:c r="N172" t="str">
        <x:v>Poço 04</x:v>
      </x:c>
      <x:c r="O172" t="str">
        <x:v>Não</x:v>
      </x:c>
      <x:c r="P172" t="str">
        <x:v>Dado fictício para demonstração</x:v>
      </x:c>
    </x:row>
    <x:row r="173">
      <x:c r="A173" s="6" t="n">
        <x:v>45863</x:v>
      </x:c>
      <x:c r="B173" t="n">
        <x:v>2025</x:v>
      </x:c>
      <x:c r="C173" t="str">
        <x:v>Jul</x:v>
      </x:c>
      <x:c r="D173" t="str">
        <x:v>2025</x:v>
      </x:c>
      <x:c r="E173" t="str">
        <x:v>Insumos</x:v>
      </x:c>
      <x:c r="F173" t="str">
        <x:v>Insumos</x:v>
      </x:c>
      <x:c r="G173" t="str">
        <x:v>Glifosato</x:v>
      </x:c>
      <x:c r="H173" t="str">
        <x:v>Herbicida</x:v>
      </x:c>
      <x:c r="I173" s="10" t="n">
        <x:v>5.44</x:v>
      </x:c>
      <x:c r="J173" t="str">
        <x:v>LT</x:v>
      </x:c>
      <x:c r="K173" s="8" t="n">
        <x:v>44</x:v>
      </x:c>
      <x:c r="L173" s="8" t="n">
        <x:v>239.36</x:v>
      </x:c>
      <x:c r="M173" t="str">
        <x:v>-</x:v>
      </x:c>
      <x:c r="N173" t="str">
        <x:v>Poço 03</x:v>
      </x:c>
      <x:c r="O173" t="str">
        <x:v>Não</x:v>
      </x:c>
      <x:c r="P173" t="str">
        <x:v>Dado fictício para demonstração</x:v>
      </x:c>
    </x:row>
    <x:row r="174">
      <x:c r="A174" s="6" t="n">
        <x:v>45863</x:v>
      </x:c>
      <x:c r="B174" t="n">
        <x:v>2025</x:v>
      </x:c>
      <x:c r="C174" t="str">
        <x:v>Jul</x:v>
      </x:c>
      <x:c r="D174" t="str">
        <x:v>2025</x:v>
      </x:c>
      <x:c r="E174" t="str">
        <x:v>Insumos</x:v>
      </x:c>
      <x:c r="F174" t="str">
        <x:v>Insumos</x:v>
      </x:c>
      <x:c r="G174" t="str">
        <x:v>Vertimec</x:v>
      </x:c>
      <x:c r="H174" t="str">
        <x:v>Defensivos</x:v>
      </x:c>
      <x:c r="I174" s="10" t="n">
        <x:v>2.4</x:v>
      </x:c>
      <x:c r="J174" t="str">
        <x:v>LT</x:v>
      </x:c>
      <x:c r="K174" s="8" t="n">
        <x:v>630</x:v>
      </x:c>
      <x:c r="L174" s="8" t="n">
        <x:v>1512</x:v>
      </x:c>
      <x:c r="M174" t="str">
        <x:v>-</x:v>
      </x:c>
      <x:c r="N174" t="str">
        <x:v>Poço 04</x:v>
      </x:c>
      <x:c r="O174" t="str">
        <x:v>Não</x:v>
      </x:c>
      <x:c r="P174" t="str">
        <x:v>Dado fictício para demonstração</x:v>
      </x:c>
    </x:row>
    <x:row r="175">
      <x:c r="A175" s="6" t="n">
        <x:v>45863</x:v>
      </x:c>
      <x:c r="B175" t="n">
        <x:v>2025</x:v>
      </x:c>
      <x:c r="C175" t="str">
        <x:v>Jul</x:v>
      </x:c>
      <x:c r="D175" t="str">
        <x:v>2025</x:v>
      </x:c>
      <x:c r="E175" t="str">
        <x:v>Insumos</x:v>
      </x:c>
      <x:c r="F175" t="str">
        <x:v>Insumos</x:v>
      </x:c>
      <x:c r="G175" t="str">
        <x:v>Glifosato</x:v>
      </x:c>
      <x:c r="H175" t="str">
        <x:v>Herbicida</x:v>
      </x:c>
      <x:c r="I175" s="10" t="n">
        <x:v>16.95</x:v>
      </x:c>
      <x:c r="J175" t="str">
        <x:v>LT</x:v>
      </x:c>
      <x:c r="K175" s="8" t="n">
        <x:v>44</x:v>
      </x:c>
      <x:c r="L175" s="8" t="n">
        <x:v>745.8</x:v>
      </x:c>
      <x:c r="M175" t="str">
        <x:v>-</x:v>
      </x:c>
      <x:c r="N175" t="str">
        <x:v>Poço 03</x:v>
      </x:c>
      <x:c r="O175" t="str">
        <x:v>Não</x:v>
      </x:c>
      <x:c r="P175" t="str">
        <x:v>Dado fictício para demonstração</x:v>
      </x:c>
    </x:row>
    <x:row r="176">
      <x:c r="A176" s="6" t="n">
        <x:v>45863</x:v>
      </x:c>
      <x:c r="B176" t="n">
        <x:v>2025</x:v>
      </x:c>
      <x:c r="C176" t="str">
        <x:v>Jul</x:v>
      </x:c>
      <x:c r="D176" t="str">
        <x:v>2025</x:v>
      </x:c>
      <x:c r="E176" t="str">
        <x:v>Mão de Obra</x:v>
      </x:c>
      <x:c r="F176" t="str">
        <x:v>Mão de Obra</x:v>
      </x:c>
      <x:c r="G176" t="str">
        <x:v>Colheita</x:v>
      </x:c>
      <x:c r="H176" t="str">
        <x:v>Colheita</x:v>
      </x:c>
      <x:c r="I176" s="10" t="n">
        <x:v>8.74</x:v>
      </x:c>
      <x:c r="J176" t="str">
        <x:v>Hora</x:v>
      </x:c>
      <x:c r="K176" s="8" t="n">
        <x:v>28</x:v>
      </x:c>
      <x:c r="L176" s="8" t="n">
        <x:v>244.72</x:v>
      </x:c>
      <x:c r="M176" t="str">
        <x:v>Rogério Lima</x:v>
      </x:c>
      <x:c r="N176" t="str">
        <x:v>Poço 03</x:v>
      </x:c>
      <x:c r="O176" t="str">
        <x:v>Não</x:v>
      </x:c>
      <x:c r="P176" t="str">
        <x:v>Dado fictício para demonstração</x:v>
      </x:c>
    </x:row>
    <x:row r="177">
      <x:c r="A177" s="6" t="n">
        <x:v>45863</x:v>
      </x:c>
      <x:c r="B177" t="n">
        <x:v>2025</x:v>
      </x:c>
      <x:c r="C177" t="str">
        <x:v>Jul</x:v>
      </x:c>
      <x:c r="D177" t="str">
        <x:v>2025</x:v>
      </x:c>
      <x:c r="E177" t="str">
        <x:v>Custos Gerais</x:v>
      </x:c>
      <x:c r="F177" t="str">
        <x:v>Custos Gerais</x:v>
      </x:c>
      <x:c r="G177" t="str">
        <x:v>Combustível</x:v>
      </x:c>
      <x:c r="H177" t="str">
        <x:v>Máquinas</x:v>
      </x:c>
      <x:c r="I177" s="10" t="n">
        <x:v>102.19</x:v>
      </x:c>
      <x:c r="J177" t="str">
        <x:v>LT</x:v>
      </x:c>
      <x:c r="K177" s="8" t="n">
        <x:v>6.2</x:v>
      </x:c>
      <x:c r="L177" s="8" t="n">
        <x:v>633.58</x:v>
      </x:c>
      <x:c r="M177" t="str">
        <x:v>-</x:v>
      </x:c>
      <x:c r="N177" t="str">
        <x:v>Poço 01</x:v>
      </x:c>
      <x:c r="O177" t="str">
        <x:v>Não</x:v>
      </x:c>
      <x:c r="P177" t="str">
        <x:v>Dado fictício para demonstração</x:v>
      </x:c>
    </x:row>
    <x:row r="178">
      <x:c r="A178" s="6" t="n">
        <x:v>45866</x:v>
      </x:c>
      <x:c r="B178" t="n">
        <x:v>2025</x:v>
      </x:c>
      <x:c r="C178" t="str">
        <x:v>Jul</x:v>
      </x:c>
      <x:c r="D178" t="str">
        <x:v>2025</x:v>
      </x:c>
      <x:c r="E178" t="str">
        <x:v>Produção</x:v>
      </x:c>
      <x:c r="F178" t="str">
        <x:v>Produção</x:v>
      </x:c>
      <x:c r="G178" t="str">
        <x:v>Caixas de Limão</x:v>
      </x:c>
      <x:c r="H178" t="str">
        <x:v>Produção mensal</x:v>
      </x:c>
      <x:c r="I178" s="10" t="n">
        <x:v>703</x:v>
      </x:c>
      <x:c r="J178" t="str">
        <x:v>CX</x:v>
      </x:c>
      <x:c r="K178" s="8" t="n">
        <x:v>0</x:v>
      </x:c>
      <x:c r="L178" s="8" t="n">
        <x:v>0</x:v>
      </x:c>
      <x:c r="M178" t="str">
        <x:v>-</x:v>
      </x:c>
      <x:c r="N178" t="str">
        <x:v>Geral</x:v>
      </x:c>
      <x:c r="O178" t="str">
        <x:v>Não</x:v>
      </x:c>
      <x:c r="P178" t="str">
        <x:v>Produção fictícia: 703 caixas</x:v>
      </x:c>
    </x:row>
    <x:row r="179">
      <x:c r="A179" s="6" t="n">
        <x:v>45871</x:v>
      </x:c>
      <x:c r="B179" t="n">
        <x:v>2025</x:v>
      </x:c>
      <x:c r="C179" t="str">
        <x:v>Ago</x:v>
      </x:c>
      <x:c r="D179" t="str">
        <x:v>2025</x:v>
      </x:c>
      <x:c r="E179" t="str">
        <x:v>Mão de Obra</x:v>
      </x:c>
      <x:c r="F179" t="str">
        <x:v>Mão de Obra</x:v>
      </x:c>
      <x:c r="G179" t="str">
        <x:v>Capina</x:v>
      </x:c>
      <x:c r="H179" t="str">
        <x:v>Capina</x:v>
      </x:c>
      <x:c r="I179" s="10" t="n">
        <x:v>14.67</x:v>
      </x:c>
      <x:c r="J179" t="str">
        <x:v>Hora</x:v>
      </x:c>
      <x:c r="K179" s="8" t="n">
        <x:v>22</x:v>
      </x:c>
      <x:c r="L179" s="8" t="n">
        <x:v>322.74</x:v>
      </x:c>
      <x:c r="M179" t="str">
        <x:v>Daniel Costa</x:v>
      </x:c>
      <x:c r="N179" t="str">
        <x:v>Poço 04</x:v>
      </x:c>
      <x:c r="O179" t="str">
        <x:v>Não</x:v>
      </x:c>
      <x:c r="P179" t="str">
        <x:v>Dado fictício para demonstração</x:v>
      </x:c>
    </x:row>
    <x:row r="180">
      <x:c r="A180" s="6" t="n">
        <x:v>45871</x:v>
      </x:c>
      <x:c r="B180" t="n">
        <x:v>2025</x:v>
      </x:c>
      <x:c r="C180" t="str">
        <x:v>Ago</x:v>
      </x:c>
      <x:c r="D180" t="str">
        <x:v>2025</x:v>
      </x:c>
      <x:c r="E180" t="str">
        <x:v>Custos Gerais</x:v>
      </x:c>
      <x:c r="F180" t="str">
        <x:v>Custos Gerais</x:v>
      </x:c>
      <x:c r="G180" t="str">
        <x:v>Combustível</x:v>
      </x:c>
      <x:c r="H180" t="str">
        <x:v>Máquinas</x:v>
      </x:c>
      <x:c r="I180" s="10" t="n">
        <x:v>80.93</x:v>
      </x:c>
      <x:c r="J180" t="str">
        <x:v>LT</x:v>
      </x:c>
      <x:c r="K180" s="8" t="n">
        <x:v>6.2</x:v>
      </x:c>
      <x:c r="L180" s="8" t="n">
        <x:v>501.77</x:v>
      </x:c>
      <x:c r="M180" t="str">
        <x:v>-</x:v>
      </x:c>
      <x:c r="N180" t="str">
        <x:v>Poço 02</x:v>
      </x:c>
      <x:c r="O180" t="str">
        <x:v>Não</x:v>
      </x:c>
      <x:c r="P180" t="str">
        <x:v>Dado fictício para demonstração</x:v>
      </x:c>
    </x:row>
    <x:row r="181">
      <x:c r="A181" s="6" t="n">
        <x:v>45871</x:v>
      </x:c>
      <x:c r="B181" t="n">
        <x:v>2025</x:v>
      </x:c>
      <x:c r="C181" t="str">
        <x:v>Ago</x:v>
      </x:c>
      <x:c r="D181" t="str">
        <x:v>2025</x:v>
      </x:c>
      <x:c r="E181" t="str">
        <x:v>Custos Gerais</x:v>
      </x:c>
      <x:c r="F181" t="str">
        <x:v>Custos Gerais</x:v>
      </x:c>
      <x:c r="G181" t="str">
        <x:v>Energia irrigação</x:v>
      </x:c>
      <x:c r="H181" t="str">
        <x:v>Irrigação</x:v>
      </x:c>
      <x:c r="I181" s="10" t="n">
        <x:v>511.56</x:v>
      </x:c>
      <x:c r="J181" t="str">
        <x:v>KWH</x:v>
      </x:c>
      <x:c r="K181" s="8" t="n">
        <x:v>0.95</x:v>
      </x:c>
      <x:c r="L181" s="8" t="n">
        <x:v>485.98</x:v>
      </x:c>
      <x:c r="M181" t="str">
        <x:v>-</x:v>
      </x:c>
      <x:c r="N181" t="str">
        <x:v>Poço 04</x:v>
      </x:c>
      <x:c r="O181" t="str">
        <x:v>Não</x:v>
      </x:c>
      <x:c r="P181" t="str">
        <x:v>Dado fictício para demonstração</x:v>
      </x:c>
    </x:row>
    <x:row r="182">
      <x:c r="A182" s="6" t="n">
        <x:v>45872</x:v>
      </x:c>
      <x:c r="B182" t="n">
        <x:v>2025</x:v>
      </x:c>
      <x:c r="C182" t="str">
        <x:v>Ago</x:v>
      </x:c>
      <x:c r="D182" t="str">
        <x:v>2025</x:v>
      </x:c>
      <x:c r="E182" t="str">
        <x:v>Mão de Obra</x:v>
      </x:c>
      <x:c r="F182" t="str">
        <x:v>Mão de Obra</x:v>
      </x:c>
      <x:c r="G182" t="str">
        <x:v>Roçada</x:v>
      </x:c>
      <x:c r="H182" t="str">
        <x:v>Roçada</x:v>
      </x:c>
      <x:c r="I182" s="10" t="n">
        <x:v>12.46</x:v>
      </x:c>
      <x:c r="J182" t="str">
        <x:v>Hora</x:v>
      </x:c>
      <x:c r="K182" s="8" t="n">
        <x:v>22</x:v>
      </x:c>
      <x:c r="L182" s="8" t="n">
        <x:v>274.12</x:v>
      </x:c>
      <x:c r="M182" t="str">
        <x:v>Marcos Paulo</x:v>
      </x:c>
      <x:c r="N182" t="str">
        <x:v>Poço 03</x:v>
      </x:c>
      <x:c r="O182" t="str">
        <x:v>Não</x:v>
      </x:c>
      <x:c r="P182" t="str">
        <x:v>Dado fictício para demonstração</x:v>
      </x:c>
    </x:row>
    <x:row r="183">
      <x:c r="A183" s="6" t="n">
        <x:v>45873</x:v>
      </x:c>
      <x:c r="B183" t="n">
        <x:v>2025</x:v>
      </x:c>
      <x:c r="C183" t="str">
        <x:v>Ago</x:v>
      </x:c>
      <x:c r="D183" t="str">
        <x:v>2025</x:v>
      </x:c>
      <x:c r="E183" t="str">
        <x:v>Mão de Obra</x:v>
      </x:c>
      <x:c r="F183" t="str">
        <x:v>Mão de Obra</x:v>
      </x:c>
      <x:c r="G183" t="str">
        <x:v>Irrigação</x:v>
      </x:c>
      <x:c r="H183" t="str">
        <x:v>Irrigação</x:v>
      </x:c>
      <x:c r="I183" s="10" t="n">
        <x:v>11.43</x:v>
      </x:c>
      <x:c r="J183" t="str">
        <x:v>Hora</x:v>
      </x:c>
      <x:c r="K183" s="8" t="n">
        <x:v>23</x:v>
      </x:c>
      <x:c r="L183" s="8" t="n">
        <x:v>262.89</x:v>
      </x:c>
      <x:c r="M183" t="str">
        <x:v>Antônio Carlos</x:v>
      </x:c>
      <x:c r="N183" t="str">
        <x:v>Poço 01</x:v>
      </x:c>
      <x:c r="O183" t="str">
        <x:v>Não</x:v>
      </x:c>
      <x:c r="P183" t="str">
        <x:v>Dado fictício para demonstração</x:v>
      </x:c>
    </x:row>
    <x:row r="184">
      <x:c r="A184" s="6" t="n">
        <x:v>45875</x:v>
      </x:c>
      <x:c r="B184" t="n">
        <x:v>2025</x:v>
      </x:c>
      <x:c r="C184" t="str">
        <x:v>Ago</x:v>
      </x:c>
      <x:c r="D184" t="str">
        <x:v>2025</x:v>
      </x:c>
      <x:c r="E184" t="str">
        <x:v>Insumos</x:v>
      </x:c>
      <x:c r="F184" t="str">
        <x:v>Insumos</x:v>
      </x:c>
      <x:c r="G184" t="str">
        <x:v>Bórax</x:v>
      </x:c>
      <x:c r="H184" t="str">
        <x:v>Nutrição</x:v>
      </x:c>
      <x:c r="I184" s="10" t="n">
        <x:v>7.72</x:v>
      </x:c>
      <x:c r="J184" t="str">
        <x:v>KG</x:v>
      </x:c>
      <x:c r="K184" s="8" t="n">
        <x:v>35.6</x:v>
      </x:c>
      <x:c r="L184" s="8" t="n">
        <x:v>274.83</x:v>
      </x:c>
      <x:c r="M184" t="str">
        <x:v>-</x:v>
      </x:c>
      <x:c r="N184" t="str">
        <x:v>Poço 02</x:v>
      </x:c>
      <x:c r="O184" t="str">
        <x:v>Não</x:v>
      </x:c>
      <x:c r="P184" t="str">
        <x:v>Dado fictício para demonstração</x:v>
      </x:c>
    </x:row>
    <x:row r="185">
      <x:c r="A185" s="6" t="n">
        <x:v>45875</x:v>
      </x:c>
      <x:c r="B185" t="n">
        <x:v>2025</x:v>
      </x:c>
      <x:c r="C185" t="str">
        <x:v>Ago</x:v>
      </x:c>
      <x:c r="D185" t="str">
        <x:v>Plantio 08/2025</x:v>
      </x:c>
      <x:c r="E185" t="str">
        <x:v>Mão de Obra</x:v>
      </x:c>
      <x:c r="F185" t="str">
        <x:v>Plantio Novo</x:v>
      </x:c>
      <x:c r="G185" t="str">
        <x:v>Aplicação de herbicida</x:v>
      </x:c>
      <x:c r="H185" t="str">
        <x:v>Herbicida</x:v>
      </x:c>
      <x:c r="I185" s="10" t="n">
        <x:v>8.4</x:v>
      </x:c>
      <x:c r="J185" t="str">
        <x:v>Hora</x:v>
      </x:c>
      <x:c r="K185" s="8" t="n">
        <x:v>26</x:v>
      </x:c>
      <x:c r="L185" s="8" t="n">
        <x:v>218.4</x:v>
      </x:c>
      <x:c r="M185" t="str">
        <x:v>Antônio Carlos</x:v>
      </x:c>
      <x:c r="N185" t="str">
        <x:v>Talhão Novo 08/2025</x:v>
      </x:c>
      <x:c r="O185" t="str">
        <x:v>Sim</x:v>
      </x:c>
      <x:c r="P185" t="str">
        <x:v>Plantio novo fictício</x:v>
      </x:c>
    </x:row>
    <x:row r="186">
      <x:c r="A186" s="6" t="n">
        <x:v>45876</x:v>
      </x:c>
      <x:c r="B186" t="n">
        <x:v>2025</x:v>
      </x:c>
      <x:c r="C186" t="str">
        <x:v>Ago</x:v>
      </x:c>
      <x:c r="D186" t="str">
        <x:v>Plantio 08/2025</x:v>
      </x:c>
      <x:c r="E186" t="str">
        <x:v>Insumos</x:v>
      </x:c>
      <x:c r="F186" t="str">
        <x:v>Plantio Novo</x:v>
      </x:c>
      <x:c r="G186" t="str">
        <x:v>Ureia</x:v>
      </x:c>
      <x:c r="H186" t="str">
        <x:v>Adubação</x:v>
      </x:c>
      <x:c r="I186" s="10" t="n">
        <x:v>46.76</x:v>
      </x:c>
      <x:c r="J186" t="str">
        <x:v>KG</x:v>
      </x:c>
      <x:c r="K186" s="8" t="n">
        <x:v>16.8</x:v>
      </x:c>
      <x:c r="L186" s="8" t="n">
        <x:v>785.57</x:v>
      </x:c>
      <x:c r="M186" t="str">
        <x:v>-</x:v>
      </x:c>
      <x:c r="N186" t="str">
        <x:v>Talhão Novo 08/2025</x:v>
      </x:c>
      <x:c r="O186" t="str">
        <x:v>Sim</x:v>
      </x:c>
      <x:c r="P186" t="str">
        <x:v>Plantio novo fictício</x:v>
      </x:c>
    </x:row>
    <x:row r="187">
      <x:c r="A187" s="6" t="n">
        <x:v>45877</x:v>
      </x:c>
      <x:c r="B187" t="n">
        <x:v>2025</x:v>
      </x:c>
      <x:c r="C187" t="str">
        <x:v>Ago</x:v>
      </x:c>
      <x:c r="D187" t="str">
        <x:v>2025</x:v>
      </x:c>
      <x:c r="E187" t="str">
        <x:v>Insumos</x:v>
      </x:c>
      <x:c r="F187" t="str">
        <x:v>Insumos</x:v>
      </x:c>
      <x:c r="G187" t="str">
        <x:v>Sulfato de Magnésio</x:v>
      </x:c>
      <x:c r="H187" t="str">
        <x:v>Nutrição</x:v>
      </x:c>
      <x:c r="I187" s="10" t="n">
        <x:v>43.98</x:v>
      </x:c>
      <x:c r="J187" t="str">
        <x:v>KG</x:v>
      </x:c>
      <x:c r="K187" s="8" t="n">
        <x:v>13.5</x:v>
      </x:c>
      <x:c r="L187" s="8" t="n">
        <x:v>593.73</x:v>
      </x:c>
      <x:c r="M187" t="str">
        <x:v>-</x:v>
      </x:c>
      <x:c r="N187" t="str">
        <x:v>Poço 01</x:v>
      </x:c>
      <x:c r="O187" t="str">
        <x:v>Não</x:v>
      </x:c>
      <x:c r="P187" t="str">
        <x:v>Dado fictício para demonstração</x:v>
      </x:c>
    </x:row>
    <x:row r="188">
      <x:c r="A188" s="6" t="n">
        <x:v>45877</x:v>
      </x:c>
      <x:c r="B188" t="n">
        <x:v>2025</x:v>
      </x:c>
      <x:c r="C188" t="str">
        <x:v>Ago</x:v>
      </x:c>
      <x:c r="D188" t="str">
        <x:v>2025</x:v>
      </x:c>
      <x:c r="E188" t="str">
        <x:v>Insumos</x:v>
      </x:c>
      <x:c r="F188" t="str">
        <x:v>Insumos</x:v>
      </x:c>
      <x:c r="G188" t="str">
        <x:v>Esterco de Gado</x:v>
      </x:c>
      <x:c r="H188" t="str">
        <x:v>Adubação</x:v>
      </x:c>
      <x:c r="I188" s="10" t="n">
        <x:v>2.65</x:v>
      </x:c>
      <x:c r="J188" t="str">
        <x:v>TON</x:v>
      </x:c>
      <x:c r="K188" s="8" t="n">
        <x:v>490</x:v>
      </x:c>
      <x:c r="L188" s="8" t="n">
        <x:v>1298.5</x:v>
      </x:c>
      <x:c r="M188" t="str">
        <x:v>-</x:v>
      </x:c>
      <x:c r="N188" t="str">
        <x:v>Poço 01</x:v>
      </x:c>
      <x:c r="O188" t="str">
        <x:v>Não</x:v>
      </x:c>
      <x:c r="P188" t="str">
        <x:v>Dado fictício para demonstração</x:v>
      </x:c>
    </x:row>
    <x:row r="189">
      <x:c r="A189" s="6" t="n">
        <x:v>45878</x:v>
      </x:c>
      <x:c r="B189" t="n">
        <x:v>2025</x:v>
      </x:c>
      <x:c r="C189" t="str">
        <x:v>Ago</x:v>
      </x:c>
      <x:c r="D189" t="str">
        <x:v>2025</x:v>
      </x:c>
      <x:c r="E189" t="str">
        <x:v>Insumos</x:v>
      </x:c>
      <x:c r="F189" t="str">
        <x:v>Insumos</x:v>
      </x:c>
      <x:c r="G189" t="str">
        <x:v>Adubo 20.00.20</x:v>
      </x:c>
      <x:c r="H189" t="str">
        <x:v>Adubação</x:v>
      </x:c>
      <x:c r="I189" s="10" t="n">
        <x:v>43.04</x:v>
      </x:c>
      <x:c r="J189" t="str">
        <x:v>KG</x:v>
      </x:c>
      <x:c r="K189" s="8" t="n">
        <x:v>25</x:v>
      </x:c>
      <x:c r="L189" s="8" t="n">
        <x:v>1076</x:v>
      </x:c>
      <x:c r="M189" t="str">
        <x:v>-</x:v>
      </x:c>
      <x:c r="N189" t="str">
        <x:v>Poço 03</x:v>
      </x:c>
      <x:c r="O189" t="str">
        <x:v>Não</x:v>
      </x:c>
      <x:c r="P189" t="str">
        <x:v>Dado fictício para demonstração</x:v>
      </x:c>
    </x:row>
    <x:row r="190">
      <x:c r="A190" s="6" t="n">
        <x:v>45878</x:v>
      </x:c>
      <x:c r="B190" t="n">
        <x:v>2025</x:v>
      </x:c>
      <x:c r="C190" t="str">
        <x:v>Ago</x:v>
      </x:c>
      <x:c r="D190" t="str">
        <x:v>2025</x:v>
      </x:c>
      <x:c r="E190" t="str">
        <x:v>Mão de Obra</x:v>
      </x:c>
      <x:c r="F190" t="str">
        <x:v>Mão de Obra</x:v>
      </x:c>
      <x:c r="G190" t="str">
        <x:v>Irrigação</x:v>
      </x:c>
      <x:c r="H190" t="str">
        <x:v>Irrigação</x:v>
      </x:c>
      <x:c r="I190" s="10" t="n">
        <x:v>6.51</x:v>
      </x:c>
      <x:c r="J190" t="str">
        <x:v>Hora</x:v>
      </x:c>
      <x:c r="K190" s="8" t="n">
        <x:v>23</x:v>
      </x:c>
      <x:c r="L190" s="8" t="n">
        <x:v>149.73</x:v>
      </x:c>
      <x:c r="M190" t="str">
        <x:v>Pedro Oliveira</x:v>
      </x:c>
      <x:c r="N190" t="str">
        <x:v>Poço 02</x:v>
      </x:c>
      <x:c r="O190" t="str">
        <x:v>Não</x:v>
      </x:c>
      <x:c r="P190" t="str">
        <x:v>Dado fictício para demonstração</x:v>
      </x:c>
    </x:row>
    <x:row r="191">
      <x:c r="A191" s="6" t="n">
        <x:v>45878</x:v>
      </x:c>
      <x:c r="B191" t="n">
        <x:v>2025</x:v>
      </x:c>
      <x:c r="C191" t="str">
        <x:v>Ago</x:v>
      </x:c>
      <x:c r="D191" t="str">
        <x:v>Plantio 08/2025</x:v>
      </x:c>
      <x:c r="E191" t="str">
        <x:v>Insumos</x:v>
      </x:c>
      <x:c r="F191" t="str">
        <x:v>Plantio Novo</x:v>
      </x:c>
      <x:c r="G191" t="str">
        <x:v>Glifosato</x:v>
      </x:c>
      <x:c r="H191" t="str">
        <x:v>Herbicida</x:v>
      </x:c>
      <x:c r="I191" s="10" t="n">
        <x:v>8.78</x:v>
      </x:c>
      <x:c r="J191" t="str">
        <x:v>LT</x:v>
      </x:c>
      <x:c r="K191" s="8" t="n">
        <x:v>44</x:v>
      </x:c>
      <x:c r="L191" s="8" t="n">
        <x:v>386.32</x:v>
      </x:c>
      <x:c r="M191" t="str">
        <x:v>-</x:v>
      </x:c>
      <x:c r="N191" t="str">
        <x:v>Talhão Novo 08/2025</x:v>
      </x:c>
      <x:c r="O191" t="str">
        <x:v>Sim</x:v>
      </x:c>
      <x:c r="P191" t="str">
        <x:v>Plantio novo fictício</x:v>
      </x:c>
    </x:row>
    <x:row r="192">
      <x:c r="A192" s="6" t="n">
        <x:v>45880</x:v>
      </x:c>
      <x:c r="B192" t="n">
        <x:v>2025</x:v>
      </x:c>
      <x:c r="C192" t="str">
        <x:v>Ago</x:v>
      </x:c>
      <x:c r="D192" t="str">
        <x:v>2025</x:v>
      </x:c>
      <x:c r="E192" t="str">
        <x:v>Insumos</x:v>
      </x:c>
      <x:c r="F192" t="str">
        <x:v>Insumos</x:v>
      </x:c>
      <x:c r="G192" t="str">
        <x:v>Vertimec</x:v>
      </x:c>
      <x:c r="H192" t="str">
        <x:v>Defensivos</x:v>
      </x:c>
      <x:c r="I192" s="10" t="n">
        <x:v>4.07</x:v>
      </x:c>
      <x:c r="J192" t="str">
        <x:v>LT</x:v>
      </x:c>
      <x:c r="K192" s="8" t="n">
        <x:v>630</x:v>
      </x:c>
      <x:c r="L192" s="8" t="n">
        <x:v>2564.1</x:v>
      </x:c>
      <x:c r="M192" t="str">
        <x:v>-</x:v>
      </x:c>
      <x:c r="N192" t="str">
        <x:v>Poço 01</x:v>
      </x:c>
      <x:c r="O192" t="str">
        <x:v>Não</x:v>
      </x:c>
      <x:c r="P192" t="str">
        <x:v>Dado fictício para demonstração</x:v>
      </x:c>
    </x:row>
    <x:row r="193">
      <x:c r="A193" s="6" t="n">
        <x:v>45880</x:v>
      </x:c>
      <x:c r="B193" t="n">
        <x:v>2025</x:v>
      </x:c>
      <x:c r="C193" t="str">
        <x:v>Ago</x:v>
      </x:c>
      <x:c r="D193" t="str">
        <x:v>2025</x:v>
      </x:c>
      <x:c r="E193" t="str">
        <x:v>Mão de Obra</x:v>
      </x:c>
      <x:c r="F193" t="str">
        <x:v>Mão de Obra</x:v>
      </x:c>
      <x:c r="G193" t="str">
        <x:v>Capina</x:v>
      </x:c>
      <x:c r="H193" t="str">
        <x:v>Capina</x:v>
      </x:c>
      <x:c r="I193" s="10" t="n">
        <x:v>9.13</x:v>
      </x:c>
      <x:c r="J193" t="str">
        <x:v>Hora</x:v>
      </x:c>
      <x:c r="K193" s="8" t="n">
        <x:v>22</x:v>
      </x:c>
      <x:c r="L193" s="8" t="n">
        <x:v>200.86</x:v>
      </x:c>
      <x:c r="M193" t="str">
        <x:v>Antônio Carlos</x:v>
      </x:c>
      <x:c r="N193" t="str">
        <x:v>Poço 03</x:v>
      </x:c>
      <x:c r="O193" t="str">
        <x:v>Não</x:v>
      </x:c>
      <x:c r="P193" t="str">
        <x:v>Dado fictício para demonstração</x:v>
      </x:c>
    </x:row>
    <x:row r="194">
      <x:c r="A194" s="6" t="n">
        <x:v>45881</x:v>
      </x:c>
      <x:c r="B194" t="n">
        <x:v>2025</x:v>
      </x:c>
      <x:c r="C194" t="str">
        <x:v>Ago</x:v>
      </x:c>
      <x:c r="D194" t="str">
        <x:v>2025</x:v>
      </x:c>
      <x:c r="E194" t="str">
        <x:v>Insumos</x:v>
      </x:c>
      <x:c r="F194" t="str">
        <x:v>Insumos</x:v>
      </x:c>
      <x:c r="G194" t="str">
        <x:v>Bórax</x:v>
      </x:c>
      <x:c r="H194" t="str">
        <x:v>Nutrição</x:v>
      </x:c>
      <x:c r="I194" s="10" t="n">
        <x:v>17.76</x:v>
      </x:c>
      <x:c r="J194" t="str">
        <x:v>KG</x:v>
      </x:c>
      <x:c r="K194" s="8" t="n">
        <x:v>35.6</x:v>
      </x:c>
      <x:c r="L194" s="8" t="n">
        <x:v>632.26</x:v>
      </x:c>
      <x:c r="M194" t="str">
        <x:v>-</x:v>
      </x:c>
      <x:c r="N194" t="str">
        <x:v>Poço 02</x:v>
      </x:c>
      <x:c r="O194" t="str">
        <x:v>Não</x:v>
      </x:c>
      <x:c r="P194" t="str">
        <x:v>Dado fictício para demonstração</x:v>
      </x:c>
    </x:row>
    <x:row r="195">
      <x:c r="A195" s="6" t="n">
        <x:v>45883</x:v>
      </x:c>
      <x:c r="B195" t="n">
        <x:v>2025</x:v>
      </x:c>
      <x:c r="C195" t="str">
        <x:v>Ago</x:v>
      </x:c>
      <x:c r="D195" t="str">
        <x:v>2025</x:v>
      </x:c>
      <x:c r="E195" t="str">
        <x:v>Insumos</x:v>
      </x:c>
      <x:c r="F195" t="str">
        <x:v>Insumos</x:v>
      </x:c>
      <x:c r="G195" t="str">
        <x:v>Bórax</x:v>
      </x:c>
      <x:c r="H195" t="str">
        <x:v>Nutrição</x:v>
      </x:c>
      <x:c r="I195" s="10" t="n">
        <x:v>15.34</x:v>
      </x:c>
      <x:c r="J195" t="str">
        <x:v>KG</x:v>
      </x:c>
      <x:c r="K195" s="8" t="n">
        <x:v>35.6</x:v>
      </x:c>
      <x:c r="L195" s="8" t="n">
        <x:v>546.1</x:v>
      </x:c>
      <x:c r="M195" t="str">
        <x:v>-</x:v>
      </x:c>
      <x:c r="N195" t="str">
        <x:v>Poço 01</x:v>
      </x:c>
      <x:c r="O195" t="str">
        <x:v>Não</x:v>
      </x:c>
      <x:c r="P195" t="str">
        <x:v>Dado fictício para demonstração</x:v>
      </x:c>
    </x:row>
    <x:row r="196">
      <x:c r="A196" s="6" t="n">
        <x:v>45883</x:v>
      </x:c>
      <x:c r="B196" t="n">
        <x:v>2025</x:v>
      </x:c>
      <x:c r="C196" t="str">
        <x:v>Ago</x:v>
      </x:c>
      <x:c r="D196" t="str">
        <x:v>Plantio 08/2025</x:v>
      </x:c>
      <x:c r="E196" t="str">
        <x:v>Mão de Obra</x:v>
      </x:c>
      <x:c r="F196" t="str">
        <x:v>Plantio Novo</x:v>
      </x:c>
      <x:c r="G196" t="str">
        <x:v>Roçada</x:v>
      </x:c>
      <x:c r="H196" t="str">
        <x:v>Roçada</x:v>
      </x:c>
      <x:c r="I196" s="10" t="n">
        <x:v>9.18</x:v>
      </x:c>
      <x:c r="J196" t="str">
        <x:v>Hora</x:v>
      </x:c>
      <x:c r="K196" s="8" t="n">
        <x:v>22</x:v>
      </x:c>
      <x:c r="L196" s="8" t="n">
        <x:v>201.96</x:v>
      </x:c>
      <x:c r="M196" t="str">
        <x:v>Marcos Paulo</x:v>
      </x:c>
      <x:c r="N196" t="str">
        <x:v>Talhão Novo 08/2025</x:v>
      </x:c>
      <x:c r="O196" t="str">
        <x:v>Sim</x:v>
      </x:c>
      <x:c r="P196" t="str">
        <x:v>Plantio novo fictício</x:v>
      </x:c>
    </x:row>
    <x:row r="197">
      <x:c r="A197" s="6" t="n">
        <x:v>45884</x:v>
      </x:c>
      <x:c r="B197" t="n">
        <x:v>2025</x:v>
      </x:c>
      <x:c r="C197" t="str">
        <x:v>Ago</x:v>
      </x:c>
      <x:c r="D197" t="str">
        <x:v>2025</x:v>
      </x:c>
      <x:c r="E197" t="str">
        <x:v>Mão de Obra</x:v>
      </x:c>
      <x:c r="F197" t="str">
        <x:v>Mão de Obra</x:v>
      </x:c>
      <x:c r="G197" t="str">
        <x:v>Aplicação de herbicida</x:v>
      </x:c>
      <x:c r="H197" t="str">
        <x:v>Herbicida</x:v>
      </x:c>
      <x:c r="I197" s="10" t="n">
        <x:v>8.62</x:v>
      </x:c>
      <x:c r="J197" t="str">
        <x:v>Hora</x:v>
      </x:c>
      <x:c r="K197" s="8" t="n">
        <x:v>26</x:v>
      </x:c>
      <x:c r="L197" s="8" t="n">
        <x:v>224.12</x:v>
      </x:c>
      <x:c r="M197" t="str">
        <x:v>Carlos Alberto</x:v>
      </x:c>
      <x:c r="N197" t="str">
        <x:v>Poço 04</x:v>
      </x:c>
      <x:c r="O197" t="str">
        <x:v>Não</x:v>
      </x:c>
      <x:c r="P197" t="str">
        <x:v>Dado fictício para demonstração</x:v>
      </x:c>
    </x:row>
    <x:row r="198">
      <x:c r="A198" s="6" t="n">
        <x:v>45885</x:v>
      </x:c>
      <x:c r="B198" t="n">
        <x:v>2025</x:v>
      </x:c>
      <x:c r="C198" t="str">
        <x:v>Ago</x:v>
      </x:c>
      <x:c r="D198" t="str">
        <x:v>2025</x:v>
      </x:c>
      <x:c r="E198" t="str">
        <x:v>Insumos</x:v>
      </x:c>
      <x:c r="F198" t="str">
        <x:v>Insumos</x:v>
      </x:c>
      <x:c r="G198" t="str">
        <x:v>Fosfato Monoamônico</x:v>
      </x:c>
      <x:c r="H198" t="str">
        <x:v>Nutrição</x:v>
      </x:c>
      <x:c r="I198" s="10" t="n">
        <x:v>23.97</x:v>
      </x:c>
      <x:c r="J198" t="str">
        <x:v>KG</x:v>
      </x:c>
      <x:c r="K198" s="8" t="n">
        <x:v>19.2</x:v>
      </x:c>
      <x:c r="L198" s="8" t="n">
        <x:v>460.22</x:v>
      </x:c>
      <x:c r="M198" t="str">
        <x:v>-</x:v>
      </x:c>
      <x:c r="N198" t="str">
        <x:v>Poço 01</x:v>
      </x:c>
      <x:c r="O198" t="str">
        <x:v>Não</x:v>
      </x:c>
      <x:c r="P198" t="str">
        <x:v>Dado fictício para demonstração</x:v>
      </x:c>
    </x:row>
    <x:row r="199">
      <x:c r="A199" s="6" t="n">
        <x:v>45886</x:v>
      </x:c>
      <x:c r="B199" t="n">
        <x:v>2025</x:v>
      </x:c>
      <x:c r="C199" t="str">
        <x:v>Ago</x:v>
      </x:c>
      <x:c r="D199" t="str">
        <x:v>Plantio 08/2025</x:v>
      </x:c>
      <x:c r="E199" t="str">
        <x:v>Mão de Obra</x:v>
      </x:c>
      <x:c r="F199" t="str">
        <x:v>Plantio Novo</x:v>
      </x:c>
      <x:c r="G199" t="str">
        <x:v>Roçada</x:v>
      </x:c>
      <x:c r="H199" t="str">
        <x:v>Roçada</x:v>
      </x:c>
      <x:c r="I199" s="10" t="n">
        <x:v>5.26</x:v>
      </x:c>
      <x:c r="J199" t="str">
        <x:v>Hora</x:v>
      </x:c>
      <x:c r="K199" s="8" t="n">
        <x:v>22</x:v>
      </x:c>
      <x:c r="L199" s="8" t="n">
        <x:v>115.72</x:v>
      </x:c>
      <x:c r="M199" t="str">
        <x:v>Lucas Pereira</x:v>
      </x:c>
      <x:c r="N199" t="str">
        <x:v>Talhão Novo 08/2025</x:v>
      </x:c>
      <x:c r="O199" t="str">
        <x:v>Sim</x:v>
      </x:c>
      <x:c r="P199" t="str">
        <x:v>Plantio novo fictício</x:v>
      </x:c>
    </x:row>
    <x:row r="200">
      <x:c r="A200" s="6" t="n">
        <x:v>45887</x:v>
      </x:c>
      <x:c r="B200" t="n">
        <x:v>2025</x:v>
      </x:c>
      <x:c r="C200" t="str">
        <x:v>Ago</x:v>
      </x:c>
      <x:c r="D200" t="str">
        <x:v>2025</x:v>
      </x:c>
      <x:c r="E200" t="str">
        <x:v>Mão de Obra</x:v>
      </x:c>
      <x:c r="F200" t="str">
        <x:v>Mão de Obra</x:v>
      </x:c>
      <x:c r="G200" t="str">
        <x:v>Desbrota</x:v>
      </x:c>
      <x:c r="H200" t="str">
        <x:v>Desbrota</x:v>
      </x:c>
      <x:c r="I200" s="10" t="n">
        <x:v>7.73</x:v>
      </x:c>
      <x:c r="J200" t="str">
        <x:v>Hora</x:v>
      </x:c>
      <x:c r="K200" s="8" t="n">
        <x:v>24</x:v>
      </x:c>
      <x:c r="L200" s="8" t="n">
        <x:v>185.52</x:v>
      </x:c>
      <x:c r="M200" t="str">
        <x:v>Carlos Alberto</x:v>
      </x:c>
      <x:c r="N200" t="str">
        <x:v>Poço 03</x:v>
      </x:c>
      <x:c r="O200" t="str">
        <x:v>Não</x:v>
      </x:c>
      <x:c r="P200" t="str">
        <x:v>Dado fictício para demonstração</x:v>
      </x:c>
    </x:row>
    <x:row r="201">
      <x:c r="A201" s="6" t="n">
        <x:v>45887</x:v>
      </x:c>
      <x:c r="B201" t="n">
        <x:v>2025</x:v>
      </x:c>
      <x:c r="C201" t="str">
        <x:v>Ago</x:v>
      </x:c>
      <x:c r="D201" t="str">
        <x:v>Plantio 08/2025</x:v>
      </x:c>
      <x:c r="E201" t="str">
        <x:v>Insumos</x:v>
      </x:c>
      <x:c r="F201" t="str">
        <x:v>Plantio Novo</x:v>
      </x:c>
      <x:c r="G201" t="str">
        <x:v>Adubo 20.00.20</x:v>
      </x:c>
      <x:c r="H201" t="str">
        <x:v>Adubação</x:v>
      </x:c>
      <x:c r="I201" s="10" t="n">
        <x:v>87.17</x:v>
      </x:c>
      <x:c r="J201" t="str">
        <x:v>KG</x:v>
      </x:c>
      <x:c r="K201" s="8" t="n">
        <x:v>25</x:v>
      </x:c>
      <x:c r="L201" s="8" t="n">
        <x:v>2179.25</x:v>
      </x:c>
      <x:c r="M201" t="str">
        <x:v>-</x:v>
      </x:c>
      <x:c r="N201" t="str">
        <x:v>Talhão Novo 08/2025</x:v>
      </x:c>
      <x:c r="O201" t="str">
        <x:v>Sim</x:v>
      </x:c>
      <x:c r="P201" t="str">
        <x:v>Plantio novo fictício</x:v>
      </x:c>
    </x:row>
    <x:row r="202">
      <x:c r="A202" s="6" t="n">
        <x:v>45888</x:v>
      </x:c>
      <x:c r="B202" t="n">
        <x:v>2025</x:v>
      </x:c>
      <x:c r="C202" t="str">
        <x:v>Ago</x:v>
      </x:c>
      <x:c r="D202" t="str">
        <x:v>2025</x:v>
      </x:c>
      <x:c r="E202" t="str">
        <x:v>Insumos</x:v>
      </x:c>
      <x:c r="F202" t="str">
        <x:v>Insumos</x:v>
      </x:c>
      <x:c r="G202" t="str">
        <x:v>Glifosato</x:v>
      </x:c>
      <x:c r="H202" t="str">
        <x:v>Herbicida</x:v>
      </x:c>
      <x:c r="I202" s="10" t="n">
        <x:v>11.3</x:v>
      </x:c>
      <x:c r="J202" t="str">
        <x:v>LT</x:v>
      </x:c>
      <x:c r="K202" s="8" t="n">
        <x:v>44</x:v>
      </x:c>
      <x:c r="L202" s="8" t="n">
        <x:v>497.2</x:v>
      </x:c>
      <x:c r="M202" t="str">
        <x:v>-</x:v>
      </x:c>
      <x:c r="N202" t="str">
        <x:v>Poço 04</x:v>
      </x:c>
      <x:c r="O202" t="str">
        <x:v>Não</x:v>
      </x:c>
      <x:c r="P202" t="str">
        <x:v>Dado fictício para demonstração</x:v>
      </x:c>
    </x:row>
    <x:row r="203">
      <x:c r="A203" s="6" t="n">
        <x:v>45888</x:v>
      </x:c>
      <x:c r="B203" t="n">
        <x:v>2025</x:v>
      </x:c>
      <x:c r="C203" t="str">
        <x:v>Ago</x:v>
      </x:c>
      <x:c r="D203" t="str">
        <x:v>2025</x:v>
      </x:c>
      <x:c r="E203" t="str">
        <x:v>Insumos</x:v>
      </x:c>
      <x:c r="F203" t="str">
        <x:v>Insumos</x:v>
      </x:c>
      <x:c r="G203" t="str">
        <x:v>Cobre Recop</x:v>
      </x:c>
      <x:c r="H203" t="str">
        <x:v>Cancro</x:v>
      </x:c>
      <x:c r="I203" s="10" t="n">
        <x:v>17</x:v>
      </x:c>
      <x:c r="J203" t="str">
        <x:v>KG</x:v>
      </x:c>
      <x:c r="K203" s="8" t="n">
        <x:v>67.5</x:v>
      </x:c>
      <x:c r="L203" s="8" t="n">
        <x:v>1147.5</x:v>
      </x:c>
      <x:c r="M203" t="str">
        <x:v>-</x:v>
      </x:c>
      <x:c r="N203" t="str">
        <x:v>Poço 04</x:v>
      </x:c>
      <x:c r="O203" t="str">
        <x:v>Não</x:v>
      </x:c>
      <x:c r="P203" t="str">
        <x:v>Dado fictício para demonstração</x:v>
      </x:c>
    </x:row>
    <x:row r="204">
      <x:c r="A204" s="6" t="n">
        <x:v>45888</x:v>
      </x:c>
      <x:c r="B204" t="n">
        <x:v>2025</x:v>
      </x:c>
      <x:c r="C204" t="str">
        <x:v>Ago</x:v>
      </x:c>
      <x:c r="D204" t="str">
        <x:v>2025</x:v>
      </x:c>
      <x:c r="E204" t="str">
        <x:v>Mão de Obra</x:v>
      </x:c>
      <x:c r="F204" t="str">
        <x:v>Mão de Obra</x:v>
      </x:c>
      <x:c r="G204" t="str">
        <x:v>Irrigação</x:v>
      </x:c>
      <x:c r="H204" t="str">
        <x:v>Irrigação</x:v>
      </x:c>
      <x:c r="I204" s="10" t="n">
        <x:v>7.72</x:v>
      </x:c>
      <x:c r="J204" t="str">
        <x:v>Hora</x:v>
      </x:c>
      <x:c r="K204" s="8" t="n">
        <x:v>23</x:v>
      </x:c>
      <x:c r="L204" s="8" t="n">
        <x:v>177.56</x:v>
      </x:c>
      <x:c r="M204" t="str">
        <x:v>Carlos Alberto</x:v>
      </x:c>
      <x:c r="N204" t="str">
        <x:v>Poço 03</x:v>
      </x:c>
      <x:c r="O204" t="str">
        <x:v>Não</x:v>
      </x:c>
      <x:c r="P204" t="str">
        <x:v>Dado fictício para demonstração</x:v>
      </x:c>
    </x:row>
    <x:row r="205">
      <x:c r="A205" s="6" t="n">
        <x:v>45888</x:v>
      </x:c>
      <x:c r="B205" t="n">
        <x:v>2025</x:v>
      </x:c>
      <x:c r="C205" t="str">
        <x:v>Ago</x:v>
      </x:c>
      <x:c r="D205" t="str">
        <x:v>Plantio 08/2025</x:v>
      </x:c>
      <x:c r="E205" t="str">
        <x:v>Mão de Obra</x:v>
      </x:c>
      <x:c r="F205" t="str">
        <x:v>Plantio Novo</x:v>
      </x:c>
      <x:c r="G205" t="str">
        <x:v>Desbrota</x:v>
      </x:c>
      <x:c r="H205" t="str">
        <x:v>Desbrota</x:v>
      </x:c>
      <x:c r="I205" s="10" t="n">
        <x:v>12.9</x:v>
      </x:c>
      <x:c r="J205" t="str">
        <x:v>Hora</x:v>
      </x:c>
      <x:c r="K205" s="8" t="n">
        <x:v>24</x:v>
      </x:c>
      <x:c r="L205" s="8" t="n">
        <x:v>309.6</x:v>
      </x:c>
      <x:c r="M205" t="str">
        <x:v>Rogério Lima</x:v>
      </x:c>
      <x:c r="N205" t="str">
        <x:v>Talhão Novo 08/2025</x:v>
      </x:c>
      <x:c r="O205" t="str">
        <x:v>Sim</x:v>
      </x:c>
      <x:c r="P205" t="str">
        <x:v>Plantio novo fictício</x:v>
      </x:c>
    </x:row>
    <x:row r="206">
      <x:c r="A206" s="6" t="n">
        <x:v>45890</x:v>
      </x:c>
      <x:c r="B206" t="n">
        <x:v>2025</x:v>
      </x:c>
      <x:c r="C206" t="str">
        <x:v>Ago</x:v>
      </x:c>
      <x:c r="D206" t="str">
        <x:v>2025</x:v>
      </x:c>
      <x:c r="E206" t="str">
        <x:v>Insumos</x:v>
      </x:c>
      <x:c r="F206" t="str">
        <x:v>Insumos</x:v>
      </x:c>
      <x:c r="G206" t="str">
        <x:v>Nitrato de Amônia</x:v>
      </x:c>
      <x:c r="H206" t="str">
        <x:v>Nutrição</x:v>
      </x:c>
      <x:c r="I206" s="10" t="n">
        <x:v>74.9</x:v>
      </x:c>
      <x:c r="J206" t="str">
        <x:v>KG</x:v>
      </x:c>
      <x:c r="K206" s="8" t="n">
        <x:v>18.5</x:v>
      </x:c>
      <x:c r="L206" s="8" t="n">
        <x:v>1385.65</x:v>
      </x:c>
      <x:c r="M206" t="str">
        <x:v>-</x:v>
      </x:c>
      <x:c r="N206" t="str">
        <x:v>Poço 01</x:v>
      </x:c>
      <x:c r="O206" t="str">
        <x:v>Não</x:v>
      </x:c>
      <x:c r="P206" t="str">
        <x:v>Dado fictício para demonstração</x:v>
      </x:c>
    </x:row>
    <x:row r="207">
      <x:c r="A207" s="6" t="n">
        <x:v>45890</x:v>
      </x:c>
      <x:c r="B207" t="n">
        <x:v>2025</x:v>
      </x:c>
      <x:c r="C207" t="str">
        <x:v>Ago</x:v>
      </x:c>
      <x:c r="D207" t="str">
        <x:v>Plantio 08/2025</x:v>
      </x:c>
      <x:c r="E207" t="str">
        <x:v>Insumos</x:v>
      </x:c>
      <x:c r="F207" t="str">
        <x:v>Plantio Novo</x:v>
      </x:c>
      <x:c r="G207" t="str">
        <x:v>Bórax</x:v>
      </x:c>
      <x:c r="H207" t="str">
        <x:v>Nutrição</x:v>
      </x:c>
      <x:c r="I207" s="10" t="n">
        <x:v>23.14</x:v>
      </x:c>
      <x:c r="J207" t="str">
        <x:v>KG</x:v>
      </x:c>
      <x:c r="K207" s="8" t="n">
        <x:v>35.6</x:v>
      </x:c>
      <x:c r="L207" s="8" t="n">
        <x:v>823.78</x:v>
      </x:c>
      <x:c r="M207" t="str">
        <x:v>-</x:v>
      </x:c>
      <x:c r="N207" t="str">
        <x:v>Talhão Novo 08/2025</x:v>
      </x:c>
      <x:c r="O207" t="str">
        <x:v>Sim</x:v>
      </x:c>
      <x:c r="P207" t="str">
        <x:v>Plantio novo fictício</x:v>
      </x:c>
    </x:row>
    <x:row r="208">
      <x:c r="A208" s="6" t="n">
        <x:v>45892</x:v>
      </x:c>
      <x:c r="B208" t="n">
        <x:v>2025</x:v>
      </x:c>
      <x:c r="C208" t="str">
        <x:v>Ago</x:v>
      </x:c>
      <x:c r="D208" t="str">
        <x:v>2025</x:v>
      </x:c>
      <x:c r="E208" t="str">
        <x:v>Insumos</x:v>
      </x:c>
      <x:c r="F208" t="str">
        <x:v>Insumos</x:v>
      </x:c>
      <x:c r="G208" t="str">
        <x:v>Nitrato de Amônia</x:v>
      </x:c>
      <x:c r="H208" t="str">
        <x:v>Nutrição</x:v>
      </x:c>
      <x:c r="I208" s="10" t="n">
        <x:v>75.45</x:v>
      </x:c>
      <x:c r="J208" t="str">
        <x:v>KG</x:v>
      </x:c>
      <x:c r="K208" s="8" t="n">
        <x:v>18.5</x:v>
      </x:c>
      <x:c r="L208" s="8" t="n">
        <x:v>1395.83</x:v>
      </x:c>
      <x:c r="M208" t="str">
        <x:v>-</x:v>
      </x:c>
      <x:c r="N208" t="str">
        <x:v>Poço 04</x:v>
      </x:c>
      <x:c r="O208" t="str">
        <x:v>Não</x:v>
      </x:c>
      <x:c r="P208" t="str">
        <x:v>Dado fictício para demonstração</x:v>
      </x:c>
    </x:row>
    <x:row r="209">
      <x:c r="A209" s="6" t="n">
        <x:v>45892</x:v>
      </x:c>
      <x:c r="B209" t="n">
        <x:v>2025</x:v>
      </x:c>
      <x:c r="C209" t="str">
        <x:v>Ago</x:v>
      </x:c>
      <x:c r="D209" t="str">
        <x:v>2025</x:v>
      </x:c>
      <x:c r="E209" t="str">
        <x:v>Mão de Obra</x:v>
      </x:c>
      <x:c r="F209" t="str">
        <x:v>Mão de Obra</x:v>
      </x:c>
      <x:c r="G209" t="str">
        <x:v>Colheita</x:v>
      </x:c>
      <x:c r="H209" t="str">
        <x:v>Colheita</x:v>
      </x:c>
      <x:c r="I209" s="10" t="n">
        <x:v>19.17</x:v>
      </x:c>
      <x:c r="J209" t="str">
        <x:v>Hora</x:v>
      </x:c>
      <x:c r="K209" s="8" t="n">
        <x:v>28</x:v>
      </x:c>
      <x:c r="L209" s="8" t="n">
        <x:v>536.76</x:v>
      </x:c>
      <x:c r="M209" t="str">
        <x:v>José da Silva</x:v>
      </x:c>
      <x:c r="N209" t="str">
        <x:v>Poço 01</x:v>
      </x:c>
      <x:c r="O209" t="str">
        <x:v>Não</x:v>
      </x:c>
      <x:c r="P209" t="str">
        <x:v>Dado fictício para demonstração</x:v>
      </x:c>
    </x:row>
    <x:row r="210">
      <x:c r="A210" s="6" t="n">
        <x:v>45892</x:v>
      </x:c>
      <x:c r="B210" t="n">
        <x:v>2025</x:v>
      </x:c>
      <x:c r="C210" t="str">
        <x:v>Ago</x:v>
      </x:c>
      <x:c r="D210" t="str">
        <x:v>2025</x:v>
      </x:c>
      <x:c r="E210" t="str">
        <x:v>Mão de Obra</x:v>
      </x:c>
      <x:c r="F210" t="str">
        <x:v>Mão de Obra</x:v>
      </x:c>
      <x:c r="G210" t="str">
        <x:v>Desbrota</x:v>
      </x:c>
      <x:c r="H210" t="str">
        <x:v>Desbrota</x:v>
      </x:c>
      <x:c r="I210" s="10" t="n">
        <x:v>5.23</x:v>
      </x:c>
      <x:c r="J210" t="str">
        <x:v>Hora</x:v>
      </x:c>
      <x:c r="K210" s="8" t="n">
        <x:v>24</x:v>
      </x:c>
      <x:c r="L210" s="8" t="n">
        <x:v>125.52</x:v>
      </x:c>
      <x:c r="M210" t="str">
        <x:v>Marcos Paulo</x:v>
      </x:c>
      <x:c r="N210" t="str">
        <x:v>Poço 04</x:v>
      </x:c>
      <x:c r="O210" t="str">
        <x:v>Não</x:v>
      </x:c>
      <x:c r="P210" t="str">
        <x:v>Dado fictício para demonstração</x:v>
      </x:c>
    </x:row>
    <x:row r="211">
      <x:c r="A211" s="6" t="n">
        <x:v>45892</x:v>
      </x:c>
      <x:c r="B211" t="n">
        <x:v>2025</x:v>
      </x:c>
      <x:c r="C211" t="str">
        <x:v>Ago</x:v>
      </x:c>
      <x:c r="D211" t="str">
        <x:v>Plantio 08/2025</x:v>
      </x:c>
      <x:c r="E211" t="str">
        <x:v>Insumos</x:v>
      </x:c>
      <x:c r="F211" t="str">
        <x:v>Plantio Novo</x:v>
      </x:c>
      <x:c r="G211" t="str">
        <x:v>Glifosato</x:v>
      </x:c>
      <x:c r="H211" t="str">
        <x:v>Herbicida</x:v>
      </x:c>
      <x:c r="I211" s="10" t="n">
        <x:v>8.3</x:v>
      </x:c>
      <x:c r="J211" t="str">
        <x:v>LT</x:v>
      </x:c>
      <x:c r="K211" s="8" t="n">
        <x:v>44</x:v>
      </x:c>
      <x:c r="L211" s="8" t="n">
        <x:v>365.2</x:v>
      </x:c>
      <x:c r="M211" t="str">
        <x:v>-</x:v>
      </x:c>
      <x:c r="N211" t="str">
        <x:v>Talhão Novo 08/2025</x:v>
      </x:c>
      <x:c r="O211" t="str">
        <x:v>Sim</x:v>
      </x:c>
      <x:c r="P211" t="str">
        <x:v>Plantio novo fictício</x:v>
      </x:c>
    </x:row>
    <x:row r="212">
      <x:c r="A212" s="6" t="n">
        <x:v>45894</x:v>
      </x:c>
      <x:c r="B212" t="n">
        <x:v>2025</x:v>
      </x:c>
      <x:c r="C212" t="str">
        <x:v>Ago</x:v>
      </x:c>
      <x:c r="D212" t="str">
        <x:v>2025</x:v>
      </x:c>
      <x:c r="E212" t="str">
        <x:v>Insumos</x:v>
      </x:c>
      <x:c r="F212" t="str">
        <x:v>Insumos</x:v>
      </x:c>
      <x:c r="G212" t="str">
        <x:v>Vertimec</x:v>
      </x:c>
      <x:c r="H212" t="str">
        <x:v>Defensivos</x:v>
      </x:c>
      <x:c r="I212" s="10" t="n">
        <x:v>3.14</x:v>
      </x:c>
      <x:c r="J212" t="str">
        <x:v>LT</x:v>
      </x:c>
      <x:c r="K212" s="8" t="n">
        <x:v>630</x:v>
      </x:c>
      <x:c r="L212" s="8" t="n">
        <x:v>1978.2</x:v>
      </x:c>
      <x:c r="M212" t="str">
        <x:v>-</x:v>
      </x:c>
      <x:c r="N212" t="str">
        <x:v>Poço 02</x:v>
      </x:c>
      <x:c r="O212" t="str">
        <x:v>Não</x:v>
      </x:c>
      <x:c r="P212" t="str">
        <x:v>Dado fictício para demonstração</x:v>
      </x:c>
    </x:row>
    <x:row r="213">
      <x:c r="A213" s="6" t="n">
        <x:v>45894</x:v>
      </x:c>
      <x:c r="B213" t="n">
        <x:v>2025</x:v>
      </x:c>
      <x:c r="C213" t="str">
        <x:v>Ago</x:v>
      </x:c>
      <x:c r="D213" t="str">
        <x:v>Plantio 08/2025</x:v>
      </x:c>
      <x:c r="E213" t="str">
        <x:v>Mão de Obra</x:v>
      </x:c>
      <x:c r="F213" t="str">
        <x:v>Plantio Novo</x:v>
      </x:c>
      <x:c r="G213" t="str">
        <x:v>Pulverização</x:v>
      </x:c>
      <x:c r="H213" t="str">
        <x:v>Pulverização</x:v>
      </x:c>
      <x:c r="I213" s="10" t="n">
        <x:v>7.44</x:v>
      </x:c>
      <x:c r="J213" t="str">
        <x:v>Hora</x:v>
      </x:c>
      <x:c r="K213" s="8" t="n">
        <x:v>25</x:v>
      </x:c>
      <x:c r="L213" s="8" t="n">
        <x:v>186</x:v>
      </x:c>
      <x:c r="M213" t="str">
        <x:v>Marcos Paulo</x:v>
      </x:c>
      <x:c r="N213" t="str">
        <x:v>Talhão Novo 08/2025</x:v>
      </x:c>
      <x:c r="O213" t="str">
        <x:v>Sim</x:v>
      </x:c>
      <x:c r="P213" t="str">
        <x:v>Plantio novo fictício</x:v>
      </x:c>
    </x:row>
    <x:row r="214">
      <x:c r="A214" s="6" t="n">
        <x:v>45897</x:v>
      </x:c>
      <x:c r="B214" t="n">
        <x:v>2025</x:v>
      </x:c>
      <x:c r="C214" t="str">
        <x:v>Ago</x:v>
      </x:c>
      <x:c r="D214" t="str">
        <x:v>2025</x:v>
      </x:c>
      <x:c r="E214" t="str">
        <x:v>Produção</x:v>
      </x:c>
      <x:c r="F214" t="str">
        <x:v>Produção</x:v>
      </x:c>
      <x:c r="G214" t="str">
        <x:v>Caixas de Limão</x:v>
      </x:c>
      <x:c r="H214" t="str">
        <x:v>Produção mensal</x:v>
      </x:c>
      <x:c r="I214" s="10" t="n">
        <x:v>738</x:v>
      </x:c>
      <x:c r="J214" t="str">
        <x:v>CX</x:v>
      </x:c>
      <x:c r="K214" s="8" t="n">
        <x:v>0</x:v>
      </x:c>
      <x:c r="L214" s="8" t="n">
        <x:v>0</x:v>
      </x:c>
      <x:c r="M214" t="str">
        <x:v>-</x:v>
      </x:c>
      <x:c r="N214" t="str">
        <x:v>Geral</x:v>
      </x:c>
      <x:c r="O214" t="str">
        <x:v>Não</x:v>
      </x:c>
      <x:c r="P214" t="str">
        <x:v>Produção fictícia: 738 caixas</x:v>
      </x:c>
    </x:row>
    <x:row r="215">
      <x:c r="A215" s="6" t="n">
        <x:v>45901</x:v>
      </x:c>
      <x:c r="B215" t="n">
        <x:v>2025</x:v>
      </x:c>
      <x:c r="C215" t="str">
        <x:v>Set</x:v>
      </x:c>
      <x:c r="D215" t="str">
        <x:v>2025</x:v>
      </x:c>
      <x:c r="E215" t="str">
        <x:v>Mão de Obra</x:v>
      </x:c>
      <x:c r="F215" t="str">
        <x:v>Mão de Obra</x:v>
      </x:c>
      <x:c r="G215" t="str">
        <x:v>Aplicação de herbicida</x:v>
      </x:c>
      <x:c r="H215" t="str">
        <x:v>Herbicida</x:v>
      </x:c>
      <x:c r="I215" s="10" t="n">
        <x:v>6.9</x:v>
      </x:c>
      <x:c r="J215" t="str">
        <x:v>Hora</x:v>
      </x:c>
      <x:c r="K215" s="8" t="n">
        <x:v>26</x:v>
      </x:c>
      <x:c r="L215" s="8" t="n">
        <x:v>179.4</x:v>
      </x:c>
      <x:c r="M215" t="str">
        <x:v>Daniel Costa</x:v>
      </x:c>
      <x:c r="N215" t="str">
        <x:v>Poço 02</x:v>
      </x:c>
      <x:c r="O215" t="str">
        <x:v>Não</x:v>
      </x:c>
      <x:c r="P215" t="str">
        <x:v>Dado fictício para demonstração</x:v>
      </x:c>
    </x:row>
    <x:row r="216">
      <x:c r="A216" s="6" t="n">
        <x:v>45902</x:v>
      </x:c>
      <x:c r="B216" t="n">
        <x:v>2025</x:v>
      </x:c>
      <x:c r="C216" t="str">
        <x:v>Set</x:v>
      </x:c>
      <x:c r="D216" t="str">
        <x:v>2025</x:v>
      </x:c>
      <x:c r="E216" t="str">
        <x:v>Custos Gerais</x:v>
      </x:c>
      <x:c r="F216" t="str">
        <x:v>Custos Gerais</x:v>
      </x:c>
      <x:c r="G216" t="str">
        <x:v>Peças e reparos</x:v>
      </x:c>
      <x:c r="H216" t="str">
        <x:v>Manutenção</x:v>
      </x:c>
      <x:c r="I216" s="10" t="n">
        <x:v>3.86</x:v>
      </x:c>
      <x:c r="J216" t="str">
        <x:v>UN</x:v>
      </x:c>
      <x:c r="K216" s="8" t="n">
        <x:v>280</x:v>
      </x:c>
      <x:c r="L216" s="8" t="n">
        <x:v>1080.8</x:v>
      </x:c>
      <x:c r="M216" t="str">
        <x:v>-</x:v>
      </x:c>
      <x:c r="N216" t="str">
        <x:v>Poço 02</x:v>
      </x:c>
      <x:c r="O216" t="str">
        <x:v>Não</x:v>
      </x:c>
      <x:c r="P216" t="str">
        <x:v>Dado fictício para demonstração</x:v>
      </x:c>
    </x:row>
    <x:row r="217">
      <x:c r="A217" s="6" t="n">
        <x:v>45902</x:v>
      </x:c>
      <x:c r="B217" t="n">
        <x:v>2025</x:v>
      </x:c>
      <x:c r="C217" t="str">
        <x:v>Set</x:v>
      </x:c>
      <x:c r="D217" t="str">
        <x:v>Plantio 08/2025</x:v>
      </x:c>
      <x:c r="E217" t="str">
        <x:v>Insumos</x:v>
      </x:c>
      <x:c r="F217" t="str">
        <x:v>Plantio Novo</x:v>
      </x:c>
      <x:c r="G217" t="str">
        <x:v>Glifosato</x:v>
      </x:c>
      <x:c r="H217" t="str">
        <x:v>Herbicida</x:v>
      </x:c>
      <x:c r="I217" s="10" t="n">
        <x:v>21.65</x:v>
      </x:c>
      <x:c r="J217" t="str">
        <x:v>LT</x:v>
      </x:c>
      <x:c r="K217" s="8" t="n">
        <x:v>44</x:v>
      </x:c>
      <x:c r="L217" s="8" t="n">
        <x:v>952.6</x:v>
      </x:c>
      <x:c r="M217" t="str">
        <x:v>-</x:v>
      </x:c>
      <x:c r="N217" t="str">
        <x:v>Talhão Novo 08/2025</x:v>
      </x:c>
      <x:c r="O217" t="str">
        <x:v>Sim</x:v>
      </x:c>
      <x:c r="P217" t="str">
        <x:v>Plantio novo fictício</x:v>
      </x:c>
    </x:row>
    <x:row r="218">
      <x:c r="A218" s="6" t="n">
        <x:v>45903</x:v>
      </x:c>
      <x:c r="B218" t="n">
        <x:v>2025</x:v>
      </x:c>
      <x:c r="C218" t="str">
        <x:v>Set</x:v>
      </x:c>
      <x:c r="D218" t="str">
        <x:v>2025</x:v>
      </x:c>
      <x:c r="E218" t="str">
        <x:v>Insumos</x:v>
      </x:c>
      <x:c r="F218" t="str">
        <x:v>Insumos</x:v>
      </x:c>
      <x:c r="G218" t="str">
        <x:v>Nitrato de Amônia</x:v>
      </x:c>
      <x:c r="H218" t="str">
        <x:v>Nutrição</x:v>
      </x:c>
      <x:c r="I218" s="10" t="n">
        <x:v>64.36</x:v>
      </x:c>
      <x:c r="J218" t="str">
        <x:v>KG</x:v>
      </x:c>
      <x:c r="K218" s="8" t="n">
        <x:v>18.5</x:v>
      </x:c>
      <x:c r="L218" s="8" t="n">
        <x:v>1190.66</x:v>
      </x:c>
      <x:c r="M218" t="str">
        <x:v>-</x:v>
      </x:c>
      <x:c r="N218" t="str">
        <x:v>Poço 02</x:v>
      </x:c>
      <x:c r="O218" t="str">
        <x:v>Não</x:v>
      </x:c>
      <x:c r="P218" t="str">
        <x:v>Dado fictício para demonstração</x:v>
      </x:c>
    </x:row>
    <x:row r="219">
      <x:c r="A219" s="6" t="n">
        <x:v>45903</x:v>
      </x:c>
      <x:c r="B219" t="n">
        <x:v>2025</x:v>
      </x:c>
      <x:c r="C219" t="str">
        <x:v>Set</x:v>
      </x:c>
      <x:c r="D219" t="str">
        <x:v>Plantio 08/2025</x:v>
      </x:c>
      <x:c r="E219" t="str">
        <x:v>Insumos</x:v>
      </x:c>
      <x:c r="F219" t="str">
        <x:v>Plantio Novo</x:v>
      </x:c>
      <x:c r="G219" t="str">
        <x:v>Sulfato de Magnésio</x:v>
      </x:c>
      <x:c r="H219" t="str">
        <x:v>Nutrição</x:v>
      </x:c>
      <x:c r="I219" s="10" t="n">
        <x:v>57.97</x:v>
      </x:c>
      <x:c r="J219" t="str">
        <x:v>KG</x:v>
      </x:c>
      <x:c r="K219" s="8" t="n">
        <x:v>13.5</x:v>
      </x:c>
      <x:c r="L219" s="8" t="n">
        <x:v>782.6</x:v>
      </x:c>
      <x:c r="M219" t="str">
        <x:v>-</x:v>
      </x:c>
      <x:c r="N219" t="str">
        <x:v>Talhão Novo 08/2025</x:v>
      </x:c>
      <x:c r="O219" t="str">
        <x:v>Sim</x:v>
      </x:c>
      <x:c r="P219" t="str">
        <x:v>Plantio novo fictício</x:v>
      </x:c>
    </x:row>
    <x:row r="220">
      <x:c r="A220" s="6" t="n">
        <x:v>45903</x:v>
      </x:c>
      <x:c r="B220" t="n">
        <x:v>2025</x:v>
      </x:c>
      <x:c r="C220" t="str">
        <x:v>Set</x:v>
      </x:c>
      <x:c r="D220" t="str">
        <x:v>Plantio 08/2025</x:v>
      </x:c>
      <x:c r="E220" t="str">
        <x:v>Insumos</x:v>
      </x:c>
      <x:c r="F220" t="str">
        <x:v>Plantio Novo</x:v>
      </x:c>
      <x:c r="G220" t="str">
        <x:v>Vertimec</x:v>
      </x:c>
      <x:c r="H220" t="str">
        <x:v>Defensivos</x:v>
      </x:c>
      <x:c r="I220" s="10" t="n">
        <x:v>3.9</x:v>
      </x:c>
      <x:c r="J220" t="str">
        <x:v>LT</x:v>
      </x:c>
      <x:c r="K220" s="8" t="n">
        <x:v>630</x:v>
      </x:c>
      <x:c r="L220" s="8" t="n">
        <x:v>2457</x:v>
      </x:c>
      <x:c r="M220" t="str">
        <x:v>-</x:v>
      </x:c>
      <x:c r="N220" t="str">
        <x:v>Talhão Novo 08/2025</x:v>
      </x:c>
      <x:c r="O220" t="str">
        <x:v>Sim</x:v>
      </x:c>
      <x:c r="P220" t="str">
        <x:v>Plantio novo fictício</x:v>
      </x:c>
    </x:row>
    <x:row r="221">
      <x:c r="A221" s="6" t="n">
        <x:v>45904</x:v>
      </x:c>
      <x:c r="B221" t="n">
        <x:v>2025</x:v>
      </x:c>
      <x:c r="C221" t="str">
        <x:v>Set</x:v>
      </x:c>
      <x:c r="D221" t="str">
        <x:v>2025</x:v>
      </x:c>
      <x:c r="E221" t="str">
        <x:v>Mão de Obra</x:v>
      </x:c>
      <x:c r="F221" t="str">
        <x:v>Mão de Obra</x:v>
      </x:c>
      <x:c r="G221" t="str">
        <x:v>Aplicação de herbicida</x:v>
      </x:c>
      <x:c r="H221" t="str">
        <x:v>Herbicida</x:v>
      </x:c>
      <x:c r="I221" s="10" t="n">
        <x:v>4.8</x:v>
      </x:c>
      <x:c r="J221" t="str">
        <x:v>Hora</x:v>
      </x:c>
      <x:c r="K221" s="8" t="n">
        <x:v>26</x:v>
      </x:c>
      <x:c r="L221" s="8" t="n">
        <x:v>124.8</x:v>
      </x:c>
      <x:c r="M221" t="str">
        <x:v>Pedro Oliveira</x:v>
      </x:c>
      <x:c r="N221" t="str">
        <x:v>Poço 02</x:v>
      </x:c>
      <x:c r="O221" t="str">
        <x:v>Não</x:v>
      </x:c>
      <x:c r="P221" t="str">
        <x:v>Dado fictício para demonstração</x:v>
      </x:c>
    </x:row>
    <x:row r="222">
      <x:c r="A222" s="6" t="n">
        <x:v>45906</x:v>
      </x:c>
      <x:c r="B222" t="n">
        <x:v>2025</x:v>
      </x:c>
      <x:c r="C222" t="str">
        <x:v>Set</x:v>
      </x:c>
      <x:c r="D222" t="str">
        <x:v>2025</x:v>
      </x:c>
      <x:c r="E222" t="str">
        <x:v>Insumos</x:v>
      </x:c>
      <x:c r="F222" t="str">
        <x:v>Insumos</x:v>
      </x:c>
      <x:c r="G222" t="str">
        <x:v>Adubo 20.00.20</x:v>
      </x:c>
      <x:c r="H222" t="str">
        <x:v>Adubação</x:v>
      </x:c>
      <x:c r="I222" s="10" t="n">
        <x:v>50.19</x:v>
      </x:c>
      <x:c r="J222" t="str">
        <x:v>KG</x:v>
      </x:c>
      <x:c r="K222" s="8" t="n">
        <x:v>25</x:v>
      </x:c>
      <x:c r="L222" s="8" t="n">
        <x:v>1254.75</x:v>
      </x:c>
      <x:c r="M222" t="str">
        <x:v>-</x:v>
      </x:c>
      <x:c r="N222" t="str">
        <x:v>Poço 03</x:v>
      </x:c>
      <x:c r="O222" t="str">
        <x:v>Não</x:v>
      </x:c>
      <x:c r="P222" t="str">
        <x:v>Dado fictício para demonstração</x:v>
      </x:c>
    </x:row>
    <x:row r="223">
      <x:c r="A223" s="6" t="n">
        <x:v>45906</x:v>
      </x:c>
      <x:c r="B223" t="n">
        <x:v>2025</x:v>
      </x:c>
      <x:c r="C223" t="str">
        <x:v>Set</x:v>
      </x:c>
      <x:c r="D223" t="str">
        <x:v>2025</x:v>
      </x:c>
      <x:c r="E223" t="str">
        <x:v>Mão de Obra</x:v>
      </x:c>
      <x:c r="F223" t="str">
        <x:v>Mão de Obra</x:v>
      </x:c>
      <x:c r="G223" t="str">
        <x:v>Roçada</x:v>
      </x:c>
      <x:c r="H223" t="str">
        <x:v>Roçada</x:v>
      </x:c>
      <x:c r="I223" s="10" t="n">
        <x:v>4.11</x:v>
      </x:c>
      <x:c r="J223" t="str">
        <x:v>Hora</x:v>
      </x:c>
      <x:c r="K223" s="8" t="n">
        <x:v>22</x:v>
      </x:c>
      <x:c r="L223" s="8" t="n">
        <x:v>90.42</x:v>
      </x:c>
      <x:c r="M223" t="str">
        <x:v>Rogério Lima</x:v>
      </x:c>
      <x:c r="N223" t="str">
        <x:v>Poço 02</x:v>
      </x:c>
      <x:c r="O223" t="str">
        <x:v>Não</x:v>
      </x:c>
      <x:c r="P223" t="str">
        <x:v>Dado fictício para demonstração</x:v>
      </x:c>
    </x:row>
    <x:row r="224">
      <x:c r="A224" s="6" t="n">
        <x:v>45906</x:v>
      </x:c>
      <x:c r="B224" t="n">
        <x:v>2025</x:v>
      </x:c>
      <x:c r="C224" t="str">
        <x:v>Set</x:v>
      </x:c>
      <x:c r="D224" t="str">
        <x:v>Plantio 08/2025</x:v>
      </x:c>
      <x:c r="E224" t="str">
        <x:v>Insumos</x:v>
      </x:c>
      <x:c r="F224" t="str">
        <x:v>Plantio Novo</x:v>
      </x:c>
      <x:c r="G224" t="str">
        <x:v>Adubo 20.00.20</x:v>
      </x:c>
      <x:c r="H224" t="str">
        <x:v>Adubação</x:v>
      </x:c>
      <x:c r="I224" s="10" t="n">
        <x:v>85.12</x:v>
      </x:c>
      <x:c r="J224" t="str">
        <x:v>KG</x:v>
      </x:c>
      <x:c r="K224" s="8" t="n">
        <x:v>25</x:v>
      </x:c>
      <x:c r="L224" s="8" t="n">
        <x:v>2128</x:v>
      </x:c>
      <x:c r="M224" t="str">
        <x:v>-</x:v>
      </x:c>
      <x:c r="N224" t="str">
        <x:v>Talhão Novo 08/2025</x:v>
      </x:c>
      <x:c r="O224" t="str">
        <x:v>Sim</x:v>
      </x:c>
      <x:c r="P224" t="str">
        <x:v>Plantio novo fictício</x:v>
      </x:c>
    </x:row>
    <x:row r="225">
      <x:c r="A225" s="6" t="n">
        <x:v>45907</x:v>
      </x:c>
      <x:c r="B225" t="n">
        <x:v>2025</x:v>
      </x:c>
      <x:c r="C225" t="str">
        <x:v>Set</x:v>
      </x:c>
      <x:c r="D225" t="str">
        <x:v>Plantio 08/2025</x:v>
      </x:c>
      <x:c r="E225" t="str">
        <x:v>Mão de Obra</x:v>
      </x:c>
      <x:c r="F225" t="str">
        <x:v>Plantio Novo</x:v>
      </x:c>
      <x:c r="G225" t="str">
        <x:v>Pulverização</x:v>
      </x:c>
      <x:c r="H225" t="str">
        <x:v>Pulverização</x:v>
      </x:c>
      <x:c r="I225" s="10" t="n">
        <x:v>5.21</x:v>
      </x:c>
      <x:c r="J225" t="str">
        <x:v>Hora</x:v>
      </x:c>
      <x:c r="K225" s="8" t="n">
        <x:v>25</x:v>
      </x:c>
      <x:c r="L225" s="8" t="n">
        <x:v>130.25</x:v>
      </x:c>
      <x:c r="M225" t="str">
        <x:v>Marcos Paulo</x:v>
      </x:c>
      <x:c r="N225" t="str">
        <x:v>Talhão Novo 08/2025</x:v>
      </x:c>
      <x:c r="O225" t="str">
        <x:v>Sim</x:v>
      </x:c>
      <x:c r="P225" t="str">
        <x:v>Plantio novo fictício</x:v>
      </x:c>
    </x:row>
    <x:row r="226">
      <x:c r="A226" s="6" t="n">
        <x:v>45908</x:v>
      </x:c>
      <x:c r="B226" t="n">
        <x:v>2025</x:v>
      </x:c>
      <x:c r="C226" t="str">
        <x:v>Set</x:v>
      </x:c>
      <x:c r="D226" t="str">
        <x:v>Plantio 08/2025</x:v>
      </x:c>
      <x:c r="E226" t="str">
        <x:v>Mão de Obra</x:v>
      </x:c>
      <x:c r="F226" t="str">
        <x:v>Plantio Novo</x:v>
      </x:c>
      <x:c r="G226" t="str">
        <x:v>Pulverização</x:v>
      </x:c>
      <x:c r="H226" t="str">
        <x:v>Pulverização</x:v>
      </x:c>
      <x:c r="I226" s="10" t="n">
        <x:v>6.06</x:v>
      </x:c>
      <x:c r="J226" t="str">
        <x:v>Hora</x:v>
      </x:c>
      <x:c r="K226" s="8" t="n">
        <x:v>25</x:v>
      </x:c>
      <x:c r="L226" s="8" t="n">
        <x:v>151.5</x:v>
      </x:c>
      <x:c r="M226" t="str">
        <x:v>Antônio Carlos</x:v>
      </x:c>
      <x:c r="N226" t="str">
        <x:v>Talhão Novo 08/2025</x:v>
      </x:c>
      <x:c r="O226" t="str">
        <x:v>Sim</x:v>
      </x:c>
      <x:c r="P226" t="str">
        <x:v>Plantio novo fictício</x:v>
      </x:c>
    </x:row>
    <x:row r="227">
      <x:c r="A227" s="6" t="n">
        <x:v>45909</x:v>
      </x:c>
      <x:c r="B227" t="n">
        <x:v>2025</x:v>
      </x:c>
      <x:c r="C227" t="str">
        <x:v>Set</x:v>
      </x:c>
      <x:c r="D227" t="str">
        <x:v>2025</x:v>
      </x:c>
      <x:c r="E227" t="str">
        <x:v>Insumos</x:v>
      </x:c>
      <x:c r="F227" t="str">
        <x:v>Insumos</x:v>
      </x:c>
      <x:c r="G227" t="str">
        <x:v>Bórax</x:v>
      </x:c>
      <x:c r="H227" t="str">
        <x:v>Nutrição</x:v>
      </x:c>
      <x:c r="I227" s="10" t="n">
        <x:v>16.64</x:v>
      </x:c>
      <x:c r="J227" t="str">
        <x:v>KG</x:v>
      </x:c>
      <x:c r="K227" s="8" t="n">
        <x:v>35.6</x:v>
      </x:c>
      <x:c r="L227" s="8" t="n">
        <x:v>592.38</x:v>
      </x:c>
      <x:c r="M227" t="str">
        <x:v>-</x:v>
      </x:c>
      <x:c r="N227" t="str">
        <x:v>Poço 04</x:v>
      </x:c>
      <x:c r="O227" t="str">
        <x:v>Não</x:v>
      </x:c>
      <x:c r="P227" t="str">
        <x:v>Dado fictício para demonstração</x:v>
      </x:c>
    </x:row>
    <x:row r="228">
      <x:c r="A228" s="6" t="n">
        <x:v>45910</x:v>
      </x:c>
      <x:c r="B228" t="n">
        <x:v>2025</x:v>
      </x:c>
      <x:c r="C228" t="str">
        <x:v>Set</x:v>
      </x:c>
      <x:c r="D228" t="str">
        <x:v>2025</x:v>
      </x:c>
      <x:c r="E228" t="str">
        <x:v>Insumos</x:v>
      </x:c>
      <x:c r="F228" t="str">
        <x:v>Insumos</x:v>
      </x:c>
      <x:c r="G228" t="str">
        <x:v>Vertimec</x:v>
      </x:c>
      <x:c r="H228" t="str">
        <x:v>Defensivos</x:v>
      </x:c>
      <x:c r="I228" s="10" t="n">
        <x:v>1.29</x:v>
      </x:c>
      <x:c r="J228" t="str">
        <x:v>LT</x:v>
      </x:c>
      <x:c r="K228" s="8" t="n">
        <x:v>630</x:v>
      </x:c>
      <x:c r="L228" s="8" t="n">
        <x:v>812.7</x:v>
      </x:c>
      <x:c r="M228" t="str">
        <x:v>-</x:v>
      </x:c>
      <x:c r="N228" t="str">
        <x:v>Poço 03</x:v>
      </x:c>
      <x:c r="O228" t="str">
        <x:v>Não</x:v>
      </x:c>
      <x:c r="P228" t="str">
        <x:v>Dado fictício para demonstração</x:v>
      </x:c>
    </x:row>
    <x:row r="229">
      <x:c r="A229" s="6" t="n">
        <x:v>45912</x:v>
      </x:c>
      <x:c r="B229" t="n">
        <x:v>2025</x:v>
      </x:c>
      <x:c r="C229" t="str">
        <x:v>Set</x:v>
      </x:c>
      <x:c r="D229" t="str">
        <x:v>2025</x:v>
      </x:c>
      <x:c r="E229" t="str">
        <x:v>Insumos</x:v>
      </x:c>
      <x:c r="F229" t="str">
        <x:v>Insumos</x:v>
      </x:c>
      <x:c r="G229" t="str">
        <x:v>Glifosato</x:v>
      </x:c>
      <x:c r="H229" t="str">
        <x:v>Herbicida</x:v>
      </x:c>
      <x:c r="I229" s="10" t="n">
        <x:v>14.57</x:v>
      </x:c>
      <x:c r="J229" t="str">
        <x:v>LT</x:v>
      </x:c>
      <x:c r="K229" s="8" t="n">
        <x:v>44</x:v>
      </x:c>
      <x:c r="L229" s="8" t="n">
        <x:v>641.08</x:v>
      </x:c>
      <x:c r="M229" t="str">
        <x:v>-</x:v>
      </x:c>
      <x:c r="N229" t="str">
        <x:v>Poço 03</x:v>
      </x:c>
      <x:c r="O229" t="str">
        <x:v>Não</x:v>
      </x:c>
      <x:c r="P229" t="str">
        <x:v>Dado fictício para demonstração</x:v>
      </x:c>
    </x:row>
    <x:row r="230">
      <x:c r="A230" s="6" t="n">
        <x:v>45913</x:v>
      </x:c>
      <x:c r="B230" t="n">
        <x:v>2025</x:v>
      </x:c>
      <x:c r="C230" t="str">
        <x:v>Set</x:v>
      </x:c>
      <x:c r="D230" t="str">
        <x:v>2025</x:v>
      </x:c>
      <x:c r="E230" t="str">
        <x:v>Custos Gerais</x:v>
      </x:c>
      <x:c r="F230" t="str">
        <x:v>Custos Gerais</x:v>
      </x:c>
      <x:c r="G230" t="str">
        <x:v>Manutenção de bomba</x:v>
      </x:c>
      <x:c r="H230" t="str">
        <x:v>Manutenção</x:v>
      </x:c>
      <x:c r="I230" s="10" t="n">
        <x:v>1.48</x:v>
      </x:c>
      <x:c r="J230" t="str">
        <x:v>UN</x:v>
      </x:c>
      <x:c r="K230" s="8" t="n">
        <x:v>450</x:v>
      </x:c>
      <x:c r="L230" s="8" t="n">
        <x:v>666</x:v>
      </x:c>
      <x:c r="M230" t="str">
        <x:v>-</x:v>
      </x:c>
      <x:c r="N230" t="str">
        <x:v>Poço 04</x:v>
      </x:c>
      <x:c r="O230" t="str">
        <x:v>Não</x:v>
      </x:c>
      <x:c r="P230" t="str">
        <x:v>Dado fictício para demonstração</x:v>
      </x:c>
    </x:row>
    <x:row r="231">
      <x:c r="A231" s="6" t="n">
        <x:v>45915</x:v>
      </x:c>
      <x:c r="B231" t="n">
        <x:v>2025</x:v>
      </x:c>
      <x:c r="C231" t="str">
        <x:v>Set</x:v>
      </x:c>
      <x:c r="D231" t="str">
        <x:v>2025</x:v>
      </x:c>
      <x:c r="E231" t="str">
        <x:v>Insumos</x:v>
      </x:c>
      <x:c r="F231" t="str">
        <x:v>Insumos</x:v>
      </x:c>
      <x:c r="G231" t="str">
        <x:v>Ureia</x:v>
      </x:c>
      <x:c r="H231" t="str">
        <x:v>Adubação</x:v>
      </x:c>
      <x:c r="I231" s="10" t="n">
        <x:v>60.84</x:v>
      </x:c>
      <x:c r="J231" t="str">
        <x:v>KG</x:v>
      </x:c>
      <x:c r="K231" s="8" t="n">
        <x:v>16.8</x:v>
      </x:c>
      <x:c r="L231" s="8" t="n">
        <x:v>1022.11</x:v>
      </x:c>
      <x:c r="M231" t="str">
        <x:v>-</x:v>
      </x:c>
      <x:c r="N231" t="str">
        <x:v>Poço 03</x:v>
      </x:c>
      <x:c r="O231" t="str">
        <x:v>Não</x:v>
      </x:c>
      <x:c r="P231" t="str">
        <x:v>Dado fictício para demonstração</x:v>
      </x:c>
    </x:row>
    <x:row r="232">
      <x:c r="A232" s="6" t="n">
        <x:v>45915</x:v>
      </x:c>
      <x:c r="B232" t="n">
        <x:v>2025</x:v>
      </x:c>
      <x:c r="C232" t="str">
        <x:v>Set</x:v>
      </x:c>
      <x:c r="D232" t="str">
        <x:v>2025</x:v>
      </x:c>
      <x:c r="E232" t="str">
        <x:v>Mão de Obra</x:v>
      </x:c>
      <x:c r="F232" t="str">
        <x:v>Mão de Obra</x:v>
      </x:c>
      <x:c r="G232" t="str">
        <x:v>Pulverização</x:v>
      </x:c>
      <x:c r="H232" t="str">
        <x:v>Pulverização</x:v>
      </x:c>
      <x:c r="I232" s="10" t="n">
        <x:v>9.95</x:v>
      </x:c>
      <x:c r="J232" t="str">
        <x:v>Hora</x:v>
      </x:c>
      <x:c r="K232" s="8" t="n">
        <x:v>25</x:v>
      </x:c>
      <x:c r="L232" s="8" t="n">
        <x:v>248.75</x:v>
      </x:c>
      <x:c r="M232" t="str">
        <x:v>Rogério Lima</x:v>
      </x:c>
      <x:c r="N232" t="str">
        <x:v>Poço 02</x:v>
      </x:c>
      <x:c r="O232" t="str">
        <x:v>Não</x:v>
      </x:c>
      <x:c r="P232" t="str">
        <x:v>Dado fictício para demonstração</x:v>
      </x:c>
    </x:row>
    <x:row r="233">
      <x:c r="A233" s="6" t="n">
        <x:v>45917</x:v>
      </x:c>
      <x:c r="B233" t="n">
        <x:v>2025</x:v>
      </x:c>
      <x:c r="C233" t="str">
        <x:v>Set</x:v>
      </x:c>
      <x:c r="D233" t="str">
        <x:v>2025</x:v>
      </x:c>
      <x:c r="E233" t="str">
        <x:v>Mão de Obra</x:v>
      </x:c>
      <x:c r="F233" t="str">
        <x:v>Mão de Obra</x:v>
      </x:c>
      <x:c r="G233" t="str">
        <x:v>Desbrota</x:v>
      </x:c>
      <x:c r="H233" t="str">
        <x:v>Desbrota</x:v>
      </x:c>
      <x:c r="I233" s="10" t="n">
        <x:v>5.26</x:v>
      </x:c>
      <x:c r="J233" t="str">
        <x:v>Hora</x:v>
      </x:c>
      <x:c r="K233" s="8" t="n">
        <x:v>24</x:v>
      </x:c>
      <x:c r="L233" s="8" t="n">
        <x:v>126.24</x:v>
      </x:c>
      <x:c r="M233" t="str">
        <x:v>Rogério Lima</x:v>
      </x:c>
      <x:c r="N233" t="str">
        <x:v>Poço 03</x:v>
      </x:c>
      <x:c r="O233" t="str">
        <x:v>Não</x:v>
      </x:c>
      <x:c r="P233" t="str">
        <x:v>Dado fictício para demonstração</x:v>
      </x:c>
    </x:row>
    <x:row r="234">
      <x:c r="A234" s="6" t="n">
        <x:v>45918</x:v>
      </x:c>
      <x:c r="B234" t="n">
        <x:v>2025</x:v>
      </x:c>
      <x:c r="C234" t="str">
        <x:v>Set</x:v>
      </x:c>
      <x:c r="D234" t="str">
        <x:v>2025</x:v>
      </x:c>
      <x:c r="E234" t="str">
        <x:v>Insumos</x:v>
      </x:c>
      <x:c r="F234" t="str">
        <x:v>Insumos</x:v>
      </x:c>
      <x:c r="G234" t="str">
        <x:v>Vertimec</x:v>
      </x:c>
      <x:c r="H234" t="str">
        <x:v>Defensivos</x:v>
      </x:c>
      <x:c r="I234" s="10" t="n">
        <x:v>1.2</x:v>
      </x:c>
      <x:c r="J234" t="str">
        <x:v>LT</x:v>
      </x:c>
      <x:c r="K234" s="8" t="n">
        <x:v>630</x:v>
      </x:c>
      <x:c r="L234" s="8" t="n">
        <x:v>756</x:v>
      </x:c>
      <x:c r="M234" t="str">
        <x:v>-</x:v>
      </x:c>
      <x:c r="N234" t="str">
        <x:v>Poço 04</x:v>
      </x:c>
      <x:c r="O234" t="str">
        <x:v>Não</x:v>
      </x:c>
      <x:c r="P234" t="str">
        <x:v>Dado fictício para demonstração</x:v>
      </x:c>
    </x:row>
    <x:row r="235">
      <x:c r="A235" s="6" t="n">
        <x:v>45918</x:v>
      </x:c>
      <x:c r="B235" t="n">
        <x:v>2025</x:v>
      </x:c>
      <x:c r="C235" t="str">
        <x:v>Set</x:v>
      </x:c>
      <x:c r="D235" t="str">
        <x:v>2025</x:v>
      </x:c>
      <x:c r="E235" t="str">
        <x:v>Insumos</x:v>
      </x:c>
      <x:c r="F235" t="str">
        <x:v>Insumos</x:v>
      </x:c>
      <x:c r="G235" t="str">
        <x:v>Fosfato Monoamônico</x:v>
      </x:c>
      <x:c r="H235" t="str">
        <x:v>Nutrição</x:v>
      </x:c>
      <x:c r="I235" s="10" t="n">
        <x:v>75.79</x:v>
      </x:c>
      <x:c r="J235" t="str">
        <x:v>KG</x:v>
      </x:c>
      <x:c r="K235" s="8" t="n">
        <x:v>19.2</x:v>
      </x:c>
      <x:c r="L235" s="8" t="n">
        <x:v>1455.17</x:v>
      </x:c>
      <x:c r="M235" t="str">
        <x:v>-</x:v>
      </x:c>
      <x:c r="N235" t="str">
        <x:v>Poço 03</x:v>
      </x:c>
      <x:c r="O235" t="str">
        <x:v>Não</x:v>
      </x:c>
      <x:c r="P235" t="str">
        <x:v>Dado fictício para demonstração</x:v>
      </x:c>
    </x:row>
    <x:row r="236">
      <x:c r="A236" s="6" t="n">
        <x:v>45918</x:v>
      </x:c>
      <x:c r="B236" t="n">
        <x:v>2025</x:v>
      </x:c>
      <x:c r="C236" t="str">
        <x:v>Set</x:v>
      </x:c>
      <x:c r="D236" t="str">
        <x:v>2025</x:v>
      </x:c>
      <x:c r="E236" t="str">
        <x:v>Mão de Obra</x:v>
      </x:c>
      <x:c r="F236" t="str">
        <x:v>Mão de Obra</x:v>
      </x:c>
      <x:c r="G236" t="str">
        <x:v>Colheita</x:v>
      </x:c>
      <x:c r="H236" t="str">
        <x:v>Colheita</x:v>
      </x:c>
      <x:c r="I236" s="10" t="n">
        <x:v>18.23</x:v>
      </x:c>
      <x:c r="J236" t="str">
        <x:v>Hora</x:v>
      </x:c>
      <x:c r="K236" s="8" t="n">
        <x:v>28</x:v>
      </x:c>
      <x:c r="L236" s="8" t="n">
        <x:v>510.44</x:v>
      </x:c>
      <x:c r="M236" t="str">
        <x:v>José da Silva</x:v>
      </x:c>
      <x:c r="N236" t="str">
        <x:v>Poço 03</x:v>
      </x:c>
      <x:c r="O236" t="str">
        <x:v>Não</x:v>
      </x:c>
      <x:c r="P236" t="str">
        <x:v>Dado fictício para demonstração</x:v>
      </x:c>
    </x:row>
    <x:row r="237">
      <x:c r="A237" s="6" t="n">
        <x:v>45920</x:v>
      </x:c>
      <x:c r="B237" t="n">
        <x:v>2025</x:v>
      </x:c>
      <x:c r="C237" t="str">
        <x:v>Set</x:v>
      </x:c>
      <x:c r="D237" t="str">
        <x:v>2025</x:v>
      </x:c>
      <x:c r="E237" t="str">
        <x:v>Custos Gerais</x:v>
      </x:c>
      <x:c r="F237" t="str">
        <x:v>Custos Gerais</x:v>
      </x:c>
      <x:c r="G237" t="str">
        <x:v>Manutenção de bomba</x:v>
      </x:c>
      <x:c r="H237" t="str">
        <x:v>Manutenção</x:v>
      </x:c>
      <x:c r="I237" s="10" t="n">
        <x:v>1.03</x:v>
      </x:c>
      <x:c r="J237" t="str">
        <x:v>UN</x:v>
      </x:c>
      <x:c r="K237" s="8" t="n">
        <x:v>450</x:v>
      </x:c>
      <x:c r="L237" s="8" t="n">
        <x:v>463.5</x:v>
      </x:c>
      <x:c r="M237" t="str">
        <x:v>-</x:v>
      </x:c>
      <x:c r="N237" t="str">
        <x:v>Poço 02</x:v>
      </x:c>
      <x:c r="O237" t="str">
        <x:v>Não</x:v>
      </x:c>
      <x:c r="P237" t="str">
        <x:v>Dado fictício para demonstração</x:v>
      </x:c>
    </x:row>
    <x:row r="238">
      <x:c r="A238" s="6" t="n">
        <x:v>45921</x:v>
      </x:c>
      <x:c r="B238" t="n">
        <x:v>2025</x:v>
      </x:c>
      <x:c r="C238" t="str">
        <x:v>Set</x:v>
      </x:c>
      <x:c r="D238" t="str">
        <x:v>2025</x:v>
      </x:c>
      <x:c r="E238" t="str">
        <x:v>Mão de Obra</x:v>
      </x:c>
      <x:c r="F238" t="str">
        <x:v>Mão de Obra</x:v>
      </x:c>
      <x:c r="G238" t="str">
        <x:v>Irrigação</x:v>
      </x:c>
      <x:c r="H238" t="str">
        <x:v>Irrigação</x:v>
      </x:c>
      <x:c r="I238" s="10" t="n">
        <x:v>6.74</x:v>
      </x:c>
      <x:c r="J238" t="str">
        <x:v>Hora</x:v>
      </x:c>
      <x:c r="K238" s="8" t="n">
        <x:v>23</x:v>
      </x:c>
      <x:c r="L238" s="8" t="n">
        <x:v>155.02</x:v>
      </x:c>
      <x:c r="M238" t="str">
        <x:v>Pedro Oliveira</x:v>
      </x:c>
      <x:c r="N238" t="str">
        <x:v>Poço 01</x:v>
      </x:c>
      <x:c r="O238" t="str">
        <x:v>Não</x:v>
      </x:c>
      <x:c r="P238" t="str">
        <x:v>Dado fictício para demonstração</x:v>
      </x:c>
    </x:row>
    <x:row r="239">
      <x:c r="A239" s="6" t="n">
        <x:v>45922</x:v>
      </x:c>
      <x:c r="B239" t="n">
        <x:v>2025</x:v>
      </x:c>
      <x:c r="C239" t="str">
        <x:v>Set</x:v>
      </x:c>
      <x:c r="D239" t="str">
        <x:v>2025</x:v>
      </x:c>
      <x:c r="E239" t="str">
        <x:v>Insumos</x:v>
      </x:c>
      <x:c r="F239" t="str">
        <x:v>Insumos</x:v>
      </x:c>
      <x:c r="G239" t="str">
        <x:v>Glifosato</x:v>
      </x:c>
      <x:c r="H239" t="str">
        <x:v>Herbicida</x:v>
      </x:c>
      <x:c r="I239" s="10" t="n">
        <x:v>14.35</x:v>
      </x:c>
      <x:c r="J239" t="str">
        <x:v>LT</x:v>
      </x:c>
      <x:c r="K239" s="8" t="n">
        <x:v>44</x:v>
      </x:c>
      <x:c r="L239" s="8" t="n">
        <x:v>631.4</x:v>
      </x:c>
      <x:c r="M239" t="str">
        <x:v>-</x:v>
      </x:c>
      <x:c r="N239" t="str">
        <x:v>Poço 01</x:v>
      </x:c>
      <x:c r="O239" t="str">
        <x:v>Não</x:v>
      </x:c>
      <x:c r="P239" t="str">
        <x:v>Dado fictício para demonstração</x:v>
      </x:c>
    </x:row>
    <x:row r="240">
      <x:c r="A240" s="6" t="n">
        <x:v>45922</x:v>
      </x:c>
      <x:c r="B240" t="n">
        <x:v>2025</x:v>
      </x:c>
      <x:c r="C240" t="str">
        <x:v>Set</x:v>
      </x:c>
      <x:c r="D240" t="str">
        <x:v>2025</x:v>
      </x:c>
      <x:c r="E240" t="str">
        <x:v>Insumos</x:v>
      </x:c>
      <x:c r="F240" t="str">
        <x:v>Insumos</x:v>
      </x:c>
      <x:c r="G240" t="str">
        <x:v>Vertimec</x:v>
      </x:c>
      <x:c r="H240" t="str">
        <x:v>Defensivos</x:v>
      </x:c>
      <x:c r="I240" s="10" t="n">
        <x:v>1.42</x:v>
      </x:c>
      <x:c r="J240" t="str">
        <x:v>LT</x:v>
      </x:c>
      <x:c r="K240" s="8" t="n">
        <x:v>630</x:v>
      </x:c>
      <x:c r="L240" s="8" t="n">
        <x:v>894.6</x:v>
      </x:c>
      <x:c r="M240" t="str">
        <x:v>-</x:v>
      </x:c>
      <x:c r="N240" t="str">
        <x:v>Poço 01</x:v>
      </x:c>
      <x:c r="O240" t="str">
        <x:v>Não</x:v>
      </x:c>
      <x:c r="P240" t="str">
        <x:v>Dado fictício para demonstração</x:v>
      </x:c>
    </x:row>
    <x:row r="241">
      <x:c r="A241" s="6" t="n">
        <x:v>45923</x:v>
      </x:c>
      <x:c r="B241" t="n">
        <x:v>2025</x:v>
      </x:c>
      <x:c r="C241" t="str">
        <x:v>Set</x:v>
      </x:c>
      <x:c r="D241" t="str">
        <x:v>2025</x:v>
      </x:c>
      <x:c r="E241" t="str">
        <x:v>Custos Gerais</x:v>
      </x:c>
      <x:c r="F241" t="str">
        <x:v>Custos Gerais</x:v>
      </x:c>
      <x:c r="G241" t="str">
        <x:v>Energia irrigação</x:v>
      </x:c>
      <x:c r="H241" t="str">
        <x:v>Irrigação</x:v>
      </x:c>
      <x:c r="I241" s="10" t="n">
        <x:v>543.41</x:v>
      </x:c>
      <x:c r="J241" t="str">
        <x:v>KWH</x:v>
      </x:c>
      <x:c r="K241" s="8" t="n">
        <x:v>0.95</x:v>
      </x:c>
      <x:c r="L241" s="8" t="n">
        <x:v>516.24</x:v>
      </x:c>
      <x:c r="M241" t="str">
        <x:v>-</x:v>
      </x:c>
      <x:c r="N241" t="str">
        <x:v>Poço 04</x:v>
      </x:c>
      <x:c r="O241" t="str">
        <x:v>Não</x:v>
      </x:c>
      <x:c r="P241" t="str">
        <x:v>Dado fictício para demonstração</x:v>
      </x:c>
    </x:row>
    <x:row r="242">
      <x:c r="A242" s="6" t="n">
        <x:v>45923</x:v>
      </x:c>
      <x:c r="B242" t="n">
        <x:v>2025</x:v>
      </x:c>
      <x:c r="C242" t="str">
        <x:v>Set</x:v>
      </x:c>
      <x:c r="D242" t="str">
        <x:v>Plantio 08/2025</x:v>
      </x:c>
      <x:c r="E242" t="str">
        <x:v>Mão de Obra</x:v>
      </x:c>
      <x:c r="F242" t="str">
        <x:v>Plantio Novo</x:v>
      </x:c>
      <x:c r="G242" t="str">
        <x:v>Capina</x:v>
      </x:c>
      <x:c r="H242" t="str">
        <x:v>Capina</x:v>
      </x:c>
      <x:c r="I242" s="10" t="n">
        <x:v>6.99</x:v>
      </x:c>
      <x:c r="J242" t="str">
        <x:v>Hora</x:v>
      </x:c>
      <x:c r="K242" s="8" t="n">
        <x:v>22</x:v>
      </x:c>
      <x:c r="L242" s="8" t="n">
        <x:v>153.78</x:v>
      </x:c>
      <x:c r="M242" t="str">
        <x:v>José da Silva</x:v>
      </x:c>
      <x:c r="N242" t="str">
        <x:v>Talhão Novo 08/2025</x:v>
      </x:c>
      <x:c r="O242" t="str">
        <x:v>Sim</x:v>
      </x:c>
      <x:c r="P242" t="str">
        <x:v>Plantio novo fictício</x:v>
      </x:c>
    </x:row>
    <x:row r="243">
      <x:c r="A243" s="6" t="n">
        <x:v>45924</x:v>
      </x:c>
      <x:c r="B243" t="n">
        <x:v>2025</x:v>
      </x:c>
      <x:c r="C243" t="str">
        <x:v>Set</x:v>
      </x:c>
      <x:c r="D243" t="str">
        <x:v>Plantio 08/2025</x:v>
      </x:c>
      <x:c r="E243" t="str">
        <x:v>Mão de Obra</x:v>
      </x:c>
      <x:c r="F243" t="str">
        <x:v>Plantio Novo</x:v>
      </x:c>
      <x:c r="G243" t="str">
        <x:v>Roçada</x:v>
      </x:c>
      <x:c r="H243" t="str">
        <x:v>Roçada</x:v>
      </x:c>
      <x:c r="I243" s="10" t="n">
        <x:v>14.36</x:v>
      </x:c>
      <x:c r="J243" t="str">
        <x:v>Hora</x:v>
      </x:c>
      <x:c r="K243" s="8" t="n">
        <x:v>22</x:v>
      </x:c>
      <x:c r="L243" s="8" t="n">
        <x:v>315.92</x:v>
      </x:c>
      <x:c r="M243" t="str">
        <x:v>Marcos Paulo</x:v>
      </x:c>
      <x:c r="N243" t="str">
        <x:v>Talhão Novo 08/2025</x:v>
      </x:c>
      <x:c r="O243" t="str">
        <x:v>Sim</x:v>
      </x:c>
      <x:c r="P243" t="str">
        <x:v>Plantio novo fictício</x:v>
      </x:c>
    </x:row>
    <x:row r="244">
      <x:c r="A244" s="6" t="n">
        <x:v>45925</x:v>
      </x:c>
      <x:c r="B244" t="n">
        <x:v>2025</x:v>
      </x:c>
      <x:c r="C244" t="str">
        <x:v>Set</x:v>
      </x:c>
      <x:c r="D244" t="str">
        <x:v>Plantio 08/2025</x:v>
      </x:c>
      <x:c r="E244" t="str">
        <x:v>Insumos</x:v>
      </x:c>
      <x:c r="F244" t="str">
        <x:v>Plantio Novo</x:v>
      </x:c>
      <x:c r="G244" t="str">
        <x:v>Sulfato de Magnésio</x:v>
      </x:c>
      <x:c r="H244" t="str">
        <x:v>Nutrição</x:v>
      </x:c>
      <x:c r="I244" s="10" t="n">
        <x:v>43.9</x:v>
      </x:c>
      <x:c r="J244" t="str">
        <x:v>KG</x:v>
      </x:c>
      <x:c r="K244" s="8" t="n">
        <x:v>13.5</x:v>
      </x:c>
      <x:c r="L244" s="8" t="n">
        <x:v>592.65</x:v>
      </x:c>
      <x:c r="M244" t="str">
        <x:v>-</x:v>
      </x:c>
      <x:c r="N244" t="str">
        <x:v>Talhão Novo 08/2025</x:v>
      </x:c>
      <x:c r="O244" t="str">
        <x:v>Sim</x:v>
      </x:c>
      <x:c r="P244" t="str">
        <x:v>Plantio novo fictício</x:v>
      </x:c>
    </x:row>
    <x:row r="245">
      <x:c r="A245" s="6" t="n">
        <x:v>45928</x:v>
      </x:c>
      <x:c r="B245" t="n">
        <x:v>2025</x:v>
      </x:c>
      <x:c r="C245" t="str">
        <x:v>Set</x:v>
      </x:c>
      <x:c r="D245" t="str">
        <x:v>2025</x:v>
      </x:c>
      <x:c r="E245" t="str">
        <x:v>Produção</x:v>
      </x:c>
      <x:c r="F245" t="str">
        <x:v>Produção</x:v>
      </x:c>
      <x:c r="G245" t="str">
        <x:v>Caixas de Limão</x:v>
      </x:c>
      <x:c r="H245" t="str">
        <x:v>Produção mensal</x:v>
      </x:c>
      <x:c r="I245" s="10" t="n">
        <x:v>544</x:v>
      </x:c>
      <x:c r="J245" t="str">
        <x:v>CX</x:v>
      </x:c>
      <x:c r="K245" s="8" t="n">
        <x:v>0</x:v>
      </x:c>
      <x:c r="L245" s="8" t="n">
        <x:v>0</x:v>
      </x:c>
      <x:c r="M245" t="str">
        <x:v>-</x:v>
      </x:c>
      <x:c r="N245" t="str">
        <x:v>Geral</x:v>
      </x:c>
      <x:c r="O245" t="str">
        <x:v>Não</x:v>
      </x:c>
      <x:c r="P245" t="str">
        <x:v>Produção fictícia: 544 caixas</x:v>
      </x:c>
    </x:row>
    <x:row r="246">
      <x:c r="A246" s="6" t="n">
        <x:v>45931</x:v>
      </x:c>
      <x:c r="B246" t="n">
        <x:v>2025</x:v>
      </x:c>
      <x:c r="C246" t="str">
        <x:v>Out</x:v>
      </x:c>
      <x:c r="D246" t="str">
        <x:v>2025</x:v>
      </x:c>
      <x:c r="E246" t="str">
        <x:v>Insumos</x:v>
      </x:c>
      <x:c r="F246" t="str">
        <x:v>Insumos</x:v>
      </x:c>
      <x:c r="G246" t="str">
        <x:v>Vertimec</x:v>
      </x:c>
      <x:c r="H246" t="str">
        <x:v>Defensivos</x:v>
      </x:c>
      <x:c r="I246" s="10" t="n">
        <x:v>1.62</x:v>
      </x:c>
      <x:c r="J246" t="str">
        <x:v>LT</x:v>
      </x:c>
      <x:c r="K246" s="8" t="n">
        <x:v>630</x:v>
      </x:c>
      <x:c r="L246" s="8" t="n">
        <x:v>1020.6</x:v>
      </x:c>
      <x:c r="M246" t="str">
        <x:v>-</x:v>
      </x:c>
      <x:c r="N246" t="str">
        <x:v>Poço 04</x:v>
      </x:c>
      <x:c r="O246" t="str">
        <x:v>Não</x:v>
      </x:c>
      <x:c r="P246" t="str">
        <x:v>Dado fictício para demonstração</x:v>
      </x:c>
    </x:row>
    <x:row r="247">
      <x:c r="A247" s="6" t="n">
        <x:v>45933</x:v>
      </x:c>
      <x:c r="B247" t="n">
        <x:v>2025</x:v>
      </x:c>
      <x:c r="C247" t="str">
        <x:v>Out</x:v>
      </x:c>
      <x:c r="D247" t="str">
        <x:v>2025</x:v>
      </x:c>
      <x:c r="E247" t="str">
        <x:v>Insumos</x:v>
      </x:c>
      <x:c r="F247" t="str">
        <x:v>Insumos</x:v>
      </x:c>
      <x:c r="G247" t="str">
        <x:v>Vertimec</x:v>
      </x:c>
      <x:c r="H247" t="str">
        <x:v>Defensivos</x:v>
      </x:c>
      <x:c r="I247" s="10" t="n">
        <x:v>3.66</x:v>
      </x:c>
      <x:c r="J247" t="str">
        <x:v>LT</x:v>
      </x:c>
      <x:c r="K247" s="8" t="n">
        <x:v>630</x:v>
      </x:c>
      <x:c r="L247" s="8" t="n">
        <x:v>2305.8</x:v>
      </x:c>
      <x:c r="M247" t="str">
        <x:v>-</x:v>
      </x:c>
      <x:c r="N247" t="str">
        <x:v>Poço 02</x:v>
      </x:c>
      <x:c r="O247" t="str">
        <x:v>Não</x:v>
      </x:c>
      <x:c r="P247" t="str">
        <x:v>Dado fictício para demonstração</x:v>
      </x:c>
    </x:row>
    <x:row r="248">
      <x:c r="A248" s="6" t="n">
        <x:v>45933</x:v>
      </x:c>
      <x:c r="B248" t="n">
        <x:v>2025</x:v>
      </x:c>
      <x:c r="C248" t="str">
        <x:v>Out</x:v>
      </x:c>
      <x:c r="D248" t="str">
        <x:v>2025</x:v>
      </x:c>
      <x:c r="E248" t="str">
        <x:v>Mão de Obra</x:v>
      </x:c>
      <x:c r="F248" t="str">
        <x:v>Mão de Obra</x:v>
      </x:c>
      <x:c r="G248" t="str">
        <x:v>Roçada</x:v>
      </x:c>
      <x:c r="H248" t="str">
        <x:v>Roçada</x:v>
      </x:c>
      <x:c r="I248" s="10" t="n">
        <x:v>14.45</x:v>
      </x:c>
      <x:c r="J248" t="str">
        <x:v>Hora</x:v>
      </x:c>
      <x:c r="K248" s="8" t="n">
        <x:v>22</x:v>
      </x:c>
      <x:c r="L248" s="8" t="n">
        <x:v>317.9</x:v>
      </x:c>
      <x:c r="M248" t="str">
        <x:v>José da Silva</x:v>
      </x:c>
      <x:c r="N248" t="str">
        <x:v>Poço 04</x:v>
      </x:c>
      <x:c r="O248" t="str">
        <x:v>Não</x:v>
      </x:c>
      <x:c r="P248" t="str">
        <x:v>Dado fictício para demonstração</x:v>
      </x:c>
    </x:row>
    <x:row r="249">
      <x:c r="A249" s="6" t="n">
        <x:v>45933</x:v>
      </x:c>
      <x:c r="B249" t="n">
        <x:v>2025</x:v>
      </x:c>
      <x:c r="C249" t="str">
        <x:v>Out</x:v>
      </x:c>
      <x:c r="D249" t="str">
        <x:v>Plantio 08/2025</x:v>
      </x:c>
      <x:c r="E249" t="str">
        <x:v>Insumos</x:v>
      </x:c>
      <x:c r="F249" t="str">
        <x:v>Plantio Novo</x:v>
      </x:c>
      <x:c r="G249" t="str">
        <x:v>Bórax</x:v>
      </x:c>
      <x:c r="H249" t="str">
        <x:v>Nutrição</x:v>
      </x:c>
      <x:c r="I249" s="10" t="n">
        <x:v>24.38</x:v>
      </x:c>
      <x:c r="J249" t="str">
        <x:v>KG</x:v>
      </x:c>
      <x:c r="K249" s="8" t="n">
        <x:v>35.6</x:v>
      </x:c>
      <x:c r="L249" s="8" t="n">
        <x:v>867.93</x:v>
      </x:c>
      <x:c r="M249" t="str">
        <x:v>-</x:v>
      </x:c>
      <x:c r="N249" t="str">
        <x:v>Talhão Novo 08/2025</x:v>
      </x:c>
      <x:c r="O249" t="str">
        <x:v>Sim</x:v>
      </x:c>
      <x:c r="P249" t="str">
        <x:v>Plantio novo fictício</x:v>
      </x:c>
    </x:row>
    <x:row r="250">
      <x:c r="A250" s="6" t="n">
        <x:v>45934</x:v>
      </x:c>
      <x:c r="B250" t="n">
        <x:v>2025</x:v>
      </x:c>
      <x:c r="C250" t="str">
        <x:v>Out</x:v>
      </x:c>
      <x:c r="D250" t="str">
        <x:v>Plantio 08/2025</x:v>
      </x:c>
      <x:c r="E250" t="str">
        <x:v>Insumos</x:v>
      </x:c>
      <x:c r="F250" t="str">
        <x:v>Plantio Novo</x:v>
      </x:c>
      <x:c r="G250" t="str">
        <x:v>Glifosato</x:v>
      </x:c>
      <x:c r="H250" t="str">
        <x:v>Herbicida</x:v>
      </x:c>
      <x:c r="I250" s="10" t="n">
        <x:v>23.82</x:v>
      </x:c>
      <x:c r="J250" t="str">
        <x:v>LT</x:v>
      </x:c>
      <x:c r="K250" s="8" t="n">
        <x:v>44</x:v>
      </x:c>
      <x:c r="L250" s="8" t="n">
        <x:v>1048.08</x:v>
      </x:c>
      <x:c r="M250" t="str">
        <x:v>-</x:v>
      </x:c>
      <x:c r="N250" t="str">
        <x:v>Talhão Novo 08/2025</x:v>
      </x:c>
      <x:c r="O250" t="str">
        <x:v>Sim</x:v>
      </x:c>
      <x:c r="P250" t="str">
        <x:v>Plantio novo fictício</x:v>
      </x:c>
    </x:row>
    <x:row r="251">
      <x:c r="A251" s="6" t="n">
        <x:v>45934</x:v>
      </x:c>
      <x:c r="B251" t="n">
        <x:v>2025</x:v>
      </x:c>
      <x:c r="C251" t="str">
        <x:v>Out</x:v>
      </x:c>
      <x:c r="D251" t="str">
        <x:v>Plantio 08/2025</x:v>
      </x:c>
      <x:c r="E251" t="str">
        <x:v>Insumos</x:v>
      </x:c>
      <x:c r="F251" t="str">
        <x:v>Plantio Novo</x:v>
      </x:c>
      <x:c r="G251" t="str">
        <x:v>Sulfato de Magnésio</x:v>
      </x:c>
      <x:c r="H251" t="str">
        <x:v>Nutrição</x:v>
      </x:c>
      <x:c r="I251" s="10" t="n">
        <x:v>44.61</x:v>
      </x:c>
      <x:c r="J251" t="str">
        <x:v>KG</x:v>
      </x:c>
      <x:c r="K251" s="8" t="n">
        <x:v>13.5</x:v>
      </x:c>
      <x:c r="L251" s="8" t="n">
        <x:v>602.24</x:v>
      </x:c>
      <x:c r="M251" t="str">
        <x:v>-</x:v>
      </x:c>
      <x:c r="N251" t="str">
        <x:v>Talhão Novo 08/2025</x:v>
      </x:c>
      <x:c r="O251" t="str">
        <x:v>Sim</x:v>
      </x:c>
      <x:c r="P251" t="str">
        <x:v>Plantio novo fictício</x:v>
      </x:c>
    </x:row>
    <x:row r="252">
      <x:c r="A252" s="6" t="n">
        <x:v>45934</x:v>
      </x:c>
      <x:c r="B252" t="n">
        <x:v>2025</x:v>
      </x:c>
      <x:c r="C252" t="str">
        <x:v>Out</x:v>
      </x:c>
      <x:c r="D252" t="str">
        <x:v>Plantio 08/2025</x:v>
      </x:c>
      <x:c r="E252" t="str">
        <x:v>Insumos</x:v>
      </x:c>
      <x:c r="F252" t="str">
        <x:v>Plantio Novo</x:v>
      </x:c>
      <x:c r="G252" t="str">
        <x:v>Sulfato de Magnésio</x:v>
      </x:c>
      <x:c r="H252" t="str">
        <x:v>Nutrição</x:v>
      </x:c>
      <x:c r="I252" s="10" t="n">
        <x:v>52.5</x:v>
      </x:c>
      <x:c r="J252" t="str">
        <x:v>KG</x:v>
      </x:c>
      <x:c r="K252" s="8" t="n">
        <x:v>13.5</x:v>
      </x:c>
      <x:c r="L252" s="8" t="n">
        <x:v>708.75</x:v>
      </x:c>
      <x:c r="M252" t="str">
        <x:v>-</x:v>
      </x:c>
      <x:c r="N252" t="str">
        <x:v>Talhão Novo 08/2025</x:v>
      </x:c>
      <x:c r="O252" t="str">
        <x:v>Sim</x:v>
      </x:c>
      <x:c r="P252" t="str">
        <x:v>Plantio novo fictício</x:v>
      </x:c>
    </x:row>
    <x:row r="253">
      <x:c r="A253" s="6" t="n">
        <x:v>45935</x:v>
      </x:c>
      <x:c r="B253" t="n">
        <x:v>2025</x:v>
      </x:c>
      <x:c r="C253" t="str">
        <x:v>Out</x:v>
      </x:c>
      <x:c r="D253" t="str">
        <x:v>2025</x:v>
      </x:c>
      <x:c r="E253" t="str">
        <x:v>Insumos</x:v>
      </x:c>
      <x:c r="F253" t="str">
        <x:v>Insumos</x:v>
      </x:c>
      <x:c r="G253" t="str">
        <x:v>Adubo 20.00.20</x:v>
      </x:c>
      <x:c r="H253" t="str">
        <x:v>Adubação</x:v>
      </x:c>
      <x:c r="I253" s="10" t="n">
        <x:v>42.68</x:v>
      </x:c>
      <x:c r="J253" t="str">
        <x:v>KG</x:v>
      </x:c>
      <x:c r="K253" s="8" t="n">
        <x:v>25</x:v>
      </x:c>
      <x:c r="L253" s="8" t="n">
        <x:v>1067</x:v>
      </x:c>
      <x:c r="M253" t="str">
        <x:v>-</x:v>
      </x:c>
      <x:c r="N253" t="str">
        <x:v>Poço 01</x:v>
      </x:c>
      <x:c r="O253" t="str">
        <x:v>Não</x:v>
      </x:c>
      <x:c r="P253" t="str">
        <x:v>Dado fictício para demonstração</x:v>
      </x:c>
    </x:row>
    <x:row r="254">
      <x:c r="A254" s="6" t="n">
        <x:v>45935</x:v>
      </x:c>
      <x:c r="B254" t="n">
        <x:v>2025</x:v>
      </x:c>
      <x:c r="C254" t="str">
        <x:v>Out</x:v>
      </x:c>
      <x:c r="D254" t="str">
        <x:v>2025</x:v>
      </x:c>
      <x:c r="E254" t="str">
        <x:v>Mão de Obra</x:v>
      </x:c>
      <x:c r="F254" t="str">
        <x:v>Mão de Obra</x:v>
      </x:c>
      <x:c r="G254" t="str">
        <x:v>Pulverização</x:v>
      </x:c>
      <x:c r="H254" t="str">
        <x:v>Pulverização</x:v>
      </x:c>
      <x:c r="I254" s="10" t="n">
        <x:v>11.94</x:v>
      </x:c>
      <x:c r="J254" t="str">
        <x:v>Hora</x:v>
      </x:c>
      <x:c r="K254" s="8" t="n">
        <x:v>25</x:v>
      </x:c>
      <x:c r="L254" s="8" t="n">
        <x:v>298.5</x:v>
      </x:c>
      <x:c r="M254" t="str">
        <x:v>Lucas Pereira</x:v>
      </x:c>
      <x:c r="N254" t="str">
        <x:v>Poço 01</x:v>
      </x:c>
      <x:c r="O254" t="str">
        <x:v>Não</x:v>
      </x:c>
      <x:c r="P254" t="str">
        <x:v>Dado fictício para demonstração</x:v>
      </x:c>
    </x:row>
    <x:row r="255">
      <x:c r="A255" s="6" t="n">
        <x:v>45938</x:v>
      </x:c>
      <x:c r="B255" t="n">
        <x:v>2025</x:v>
      </x:c>
      <x:c r="C255" t="str">
        <x:v>Out</x:v>
      </x:c>
      <x:c r="D255" t="str">
        <x:v>2025</x:v>
      </x:c>
      <x:c r="E255" t="str">
        <x:v>Custos Gerais</x:v>
      </x:c>
      <x:c r="F255" t="str">
        <x:v>Custos Gerais</x:v>
      </x:c>
      <x:c r="G255" t="str">
        <x:v>Energia irrigação</x:v>
      </x:c>
      <x:c r="H255" t="str">
        <x:v>Irrigação</x:v>
      </x:c>
      <x:c r="I255" s="10" t="n">
        <x:v>331.46</x:v>
      </x:c>
      <x:c r="J255" t="str">
        <x:v>KWH</x:v>
      </x:c>
      <x:c r="K255" s="8" t="n">
        <x:v>0.95</x:v>
      </x:c>
      <x:c r="L255" s="8" t="n">
        <x:v>314.89</x:v>
      </x:c>
      <x:c r="M255" t="str">
        <x:v>-</x:v>
      </x:c>
      <x:c r="N255" t="str">
        <x:v>Poço 03</x:v>
      </x:c>
      <x:c r="O255" t="str">
        <x:v>Não</x:v>
      </x:c>
      <x:c r="P255" t="str">
        <x:v>Dado fictício para demonstração</x:v>
      </x:c>
    </x:row>
    <x:row r="256">
      <x:c r="A256" s="6" t="n">
        <x:v>45939</x:v>
      </x:c>
      <x:c r="B256" t="n">
        <x:v>2025</x:v>
      </x:c>
      <x:c r="C256" t="str">
        <x:v>Out</x:v>
      </x:c>
      <x:c r="D256" t="str">
        <x:v>2025</x:v>
      </x:c>
      <x:c r="E256" t="str">
        <x:v>Mão de Obra</x:v>
      </x:c>
      <x:c r="F256" t="str">
        <x:v>Mão de Obra</x:v>
      </x:c>
      <x:c r="G256" t="str">
        <x:v>Capina</x:v>
      </x:c>
      <x:c r="H256" t="str">
        <x:v>Capina</x:v>
      </x:c>
      <x:c r="I256" s="10" t="n">
        <x:v>4.19</x:v>
      </x:c>
      <x:c r="J256" t="str">
        <x:v>Hora</x:v>
      </x:c>
      <x:c r="K256" s="8" t="n">
        <x:v>22</x:v>
      </x:c>
      <x:c r="L256" s="8" t="n">
        <x:v>92.18</x:v>
      </x:c>
      <x:c r="M256" t="str">
        <x:v>Daniel Costa</x:v>
      </x:c>
      <x:c r="N256" t="str">
        <x:v>Poço 01</x:v>
      </x:c>
      <x:c r="O256" t="str">
        <x:v>Não</x:v>
      </x:c>
      <x:c r="P256" t="str">
        <x:v>Dado fictício para demonstração</x:v>
      </x:c>
    </x:row>
    <x:row r="257">
      <x:c r="A257" s="6" t="n">
        <x:v>45939</x:v>
      </x:c>
      <x:c r="B257" t="n">
        <x:v>2025</x:v>
      </x:c>
      <x:c r="C257" t="str">
        <x:v>Out</x:v>
      </x:c>
      <x:c r="D257" t="str">
        <x:v>2025</x:v>
      </x:c>
      <x:c r="E257" t="str">
        <x:v>Mão de Obra</x:v>
      </x:c>
      <x:c r="F257" t="str">
        <x:v>Mão de Obra</x:v>
      </x:c>
      <x:c r="G257" t="str">
        <x:v>Colheita</x:v>
      </x:c>
      <x:c r="H257" t="str">
        <x:v>Colheita</x:v>
      </x:c>
      <x:c r="I257" s="10" t="n">
        <x:v>14.74</x:v>
      </x:c>
      <x:c r="J257" t="str">
        <x:v>Hora</x:v>
      </x:c>
      <x:c r="K257" s="8" t="n">
        <x:v>28</x:v>
      </x:c>
      <x:c r="L257" s="8" t="n">
        <x:v>412.72</x:v>
      </x:c>
      <x:c r="M257" t="str">
        <x:v>José da Silva</x:v>
      </x:c>
      <x:c r="N257" t="str">
        <x:v>Poço 03</x:v>
      </x:c>
      <x:c r="O257" t="str">
        <x:v>Não</x:v>
      </x:c>
      <x:c r="P257" t="str">
        <x:v>Dado fictício para demonstração</x:v>
      </x:c>
    </x:row>
    <x:row r="258">
      <x:c r="A258" s="6" t="n">
        <x:v>45940</x:v>
      </x:c>
      <x:c r="B258" t="n">
        <x:v>2025</x:v>
      </x:c>
      <x:c r="C258" t="str">
        <x:v>Out</x:v>
      </x:c>
      <x:c r="D258" t="str">
        <x:v>2025</x:v>
      </x:c>
      <x:c r="E258" t="str">
        <x:v>Mão de Obra</x:v>
      </x:c>
      <x:c r="F258" t="str">
        <x:v>Mão de Obra</x:v>
      </x:c>
      <x:c r="G258" t="str">
        <x:v>Pulverização</x:v>
      </x:c>
      <x:c r="H258" t="str">
        <x:v>Pulverização</x:v>
      </x:c>
      <x:c r="I258" s="10" t="n">
        <x:v>7.6</x:v>
      </x:c>
      <x:c r="J258" t="str">
        <x:v>Hora</x:v>
      </x:c>
      <x:c r="K258" s="8" t="n">
        <x:v>25</x:v>
      </x:c>
      <x:c r="L258" s="8" t="n">
        <x:v>190</x:v>
      </x:c>
      <x:c r="M258" t="str">
        <x:v>João Santos</x:v>
      </x:c>
      <x:c r="N258" t="str">
        <x:v>Poço 03</x:v>
      </x:c>
      <x:c r="O258" t="str">
        <x:v>Não</x:v>
      </x:c>
      <x:c r="P258" t="str">
        <x:v>Dado fictício para demonstração</x:v>
      </x:c>
    </x:row>
    <x:row r="259">
      <x:c r="A259" s="6" t="n">
        <x:v>45941</x:v>
      </x:c>
      <x:c r="B259" t="n">
        <x:v>2025</x:v>
      </x:c>
      <x:c r="C259" t="str">
        <x:v>Out</x:v>
      </x:c>
      <x:c r="D259" t="str">
        <x:v>2025</x:v>
      </x:c>
      <x:c r="E259" t="str">
        <x:v>Insumos</x:v>
      </x:c>
      <x:c r="F259" t="str">
        <x:v>Insumos</x:v>
      </x:c>
      <x:c r="G259" t="str">
        <x:v>Ureia</x:v>
      </x:c>
      <x:c r="H259" t="str">
        <x:v>Adubação</x:v>
      </x:c>
      <x:c r="I259" s="10" t="n">
        <x:v>33.45</x:v>
      </x:c>
      <x:c r="J259" t="str">
        <x:v>KG</x:v>
      </x:c>
      <x:c r="K259" s="8" t="n">
        <x:v>16.8</x:v>
      </x:c>
      <x:c r="L259" s="8" t="n">
        <x:v>561.96</x:v>
      </x:c>
      <x:c r="M259" t="str">
        <x:v>-</x:v>
      </x:c>
      <x:c r="N259" t="str">
        <x:v>Poço 01</x:v>
      </x:c>
      <x:c r="O259" t="str">
        <x:v>Não</x:v>
      </x:c>
      <x:c r="P259" t="str">
        <x:v>Dado fictício para demonstração</x:v>
      </x:c>
    </x:row>
    <x:row r="260">
      <x:c r="A260" s="6" t="n">
        <x:v>45941</x:v>
      </x:c>
      <x:c r="B260" t="n">
        <x:v>2025</x:v>
      </x:c>
      <x:c r="C260" t="str">
        <x:v>Out</x:v>
      </x:c>
      <x:c r="D260" t="str">
        <x:v>Plantio 08/2025</x:v>
      </x:c>
      <x:c r="E260" t="str">
        <x:v>Insumos</x:v>
      </x:c>
      <x:c r="F260" t="str">
        <x:v>Plantio Novo</x:v>
      </x:c>
      <x:c r="G260" t="str">
        <x:v>Esterco de Gado</x:v>
      </x:c>
      <x:c r="H260" t="str">
        <x:v>Adubação</x:v>
      </x:c>
      <x:c r="I260" s="10" t="n">
        <x:v>5.01</x:v>
      </x:c>
      <x:c r="J260" t="str">
        <x:v>TON</x:v>
      </x:c>
      <x:c r="K260" s="8" t="n">
        <x:v>490</x:v>
      </x:c>
      <x:c r="L260" s="8" t="n">
        <x:v>2454.9</x:v>
      </x:c>
      <x:c r="M260" t="str">
        <x:v>-</x:v>
      </x:c>
      <x:c r="N260" t="str">
        <x:v>Talhão Novo 08/2025</x:v>
      </x:c>
      <x:c r="O260" t="str">
        <x:v>Sim</x:v>
      </x:c>
      <x:c r="P260" t="str">
        <x:v>Plantio novo fictício</x:v>
      </x:c>
    </x:row>
    <x:row r="261">
      <x:c r="A261" s="6" t="n">
        <x:v>45942</x:v>
      </x:c>
      <x:c r="B261" t="n">
        <x:v>2025</x:v>
      </x:c>
      <x:c r="C261" t="str">
        <x:v>Out</x:v>
      </x:c>
      <x:c r="D261" t="str">
        <x:v>2025</x:v>
      </x:c>
      <x:c r="E261" t="str">
        <x:v>Insumos</x:v>
      </x:c>
      <x:c r="F261" t="str">
        <x:v>Insumos</x:v>
      </x:c>
      <x:c r="G261" t="str">
        <x:v>Esterco de Gado</x:v>
      </x:c>
      <x:c r="H261" t="str">
        <x:v>Adubação</x:v>
      </x:c>
      <x:c r="I261" s="10" t="n">
        <x:v>5.76</x:v>
      </x:c>
      <x:c r="J261" t="str">
        <x:v>TON</x:v>
      </x:c>
      <x:c r="K261" s="8" t="n">
        <x:v>490</x:v>
      </x:c>
      <x:c r="L261" s="8" t="n">
        <x:v>2822.4</x:v>
      </x:c>
      <x:c r="M261" t="str">
        <x:v>-</x:v>
      </x:c>
      <x:c r="N261" t="str">
        <x:v>Poço 02</x:v>
      </x:c>
      <x:c r="O261" t="str">
        <x:v>Não</x:v>
      </x:c>
      <x:c r="P261" t="str">
        <x:v>Dado fictício para demonstração</x:v>
      </x:c>
    </x:row>
    <x:row r="262">
      <x:c r="A262" s="6" t="n">
        <x:v>45942</x:v>
      </x:c>
      <x:c r="B262" t="n">
        <x:v>2025</x:v>
      </x:c>
      <x:c r="C262" t="str">
        <x:v>Out</x:v>
      </x:c>
      <x:c r="D262" t="str">
        <x:v>2025</x:v>
      </x:c>
      <x:c r="E262" t="str">
        <x:v>Mão de Obra</x:v>
      </x:c>
      <x:c r="F262" t="str">
        <x:v>Mão de Obra</x:v>
      </x:c>
      <x:c r="G262" t="str">
        <x:v>Roçada</x:v>
      </x:c>
      <x:c r="H262" t="str">
        <x:v>Roçada</x:v>
      </x:c>
      <x:c r="I262" s="10" t="n">
        <x:v>15.12</x:v>
      </x:c>
      <x:c r="J262" t="str">
        <x:v>Hora</x:v>
      </x:c>
      <x:c r="K262" s="8" t="n">
        <x:v>22</x:v>
      </x:c>
      <x:c r="L262" s="8" t="n">
        <x:v>332.64</x:v>
      </x:c>
      <x:c r="M262" t="str">
        <x:v>Marcos Paulo</x:v>
      </x:c>
      <x:c r="N262" t="str">
        <x:v>Poço 04</x:v>
      </x:c>
      <x:c r="O262" t="str">
        <x:v>Não</x:v>
      </x:c>
      <x:c r="P262" t="str">
        <x:v>Dado fictício para demonstração</x:v>
      </x:c>
    </x:row>
    <x:row r="263">
      <x:c r="A263" s="6" t="n">
        <x:v>45942</x:v>
      </x:c>
      <x:c r="B263" t="n">
        <x:v>2025</x:v>
      </x:c>
      <x:c r="C263" t="str">
        <x:v>Out</x:v>
      </x:c>
      <x:c r="D263" t="str">
        <x:v>2025</x:v>
      </x:c>
      <x:c r="E263" t="str">
        <x:v>Custos Gerais</x:v>
      </x:c>
      <x:c r="F263" t="str">
        <x:v>Custos Gerais</x:v>
      </x:c>
      <x:c r="G263" t="str">
        <x:v>Peças e reparos</x:v>
      </x:c>
      <x:c r="H263" t="str">
        <x:v>Manutenção</x:v>
      </x:c>
      <x:c r="I263" s="10" t="n">
        <x:v>1.28</x:v>
      </x:c>
      <x:c r="J263" t="str">
        <x:v>UN</x:v>
      </x:c>
      <x:c r="K263" s="8" t="n">
        <x:v>280</x:v>
      </x:c>
      <x:c r="L263" s="8" t="n">
        <x:v>358.4</x:v>
      </x:c>
      <x:c r="M263" t="str">
        <x:v>-</x:v>
      </x:c>
      <x:c r="N263" t="str">
        <x:v>Poço 03</x:v>
      </x:c>
      <x:c r="O263" t="str">
        <x:v>Não</x:v>
      </x:c>
      <x:c r="P263" t="str">
        <x:v>Dado fictício para demonstração</x:v>
      </x:c>
    </x:row>
    <x:row r="264">
      <x:c r="A264" s="6" t="n">
        <x:v>45943</x:v>
      </x:c>
      <x:c r="B264" t="n">
        <x:v>2025</x:v>
      </x:c>
      <x:c r="C264" t="str">
        <x:v>Out</x:v>
      </x:c>
      <x:c r="D264" t="str">
        <x:v>2025</x:v>
      </x:c>
      <x:c r="E264" t="str">
        <x:v>Insumos</x:v>
      </x:c>
      <x:c r="F264" t="str">
        <x:v>Insumos</x:v>
      </x:c>
      <x:c r="G264" t="str">
        <x:v>Nitrato de Amônia</x:v>
      </x:c>
      <x:c r="H264" t="str">
        <x:v>Nutrição</x:v>
      </x:c>
      <x:c r="I264" s="10" t="n">
        <x:v>68.77</x:v>
      </x:c>
      <x:c r="J264" t="str">
        <x:v>KG</x:v>
      </x:c>
      <x:c r="K264" s="8" t="n">
        <x:v>18.5</x:v>
      </x:c>
      <x:c r="L264" s="8" t="n">
        <x:v>1272.24</x:v>
      </x:c>
      <x:c r="M264" t="str">
        <x:v>-</x:v>
      </x:c>
      <x:c r="N264" t="str">
        <x:v>Poço 04</x:v>
      </x:c>
      <x:c r="O264" t="str">
        <x:v>Não</x:v>
      </x:c>
      <x:c r="P264" t="str">
        <x:v>Dado fictício para demonstração</x:v>
      </x:c>
    </x:row>
    <x:row r="265">
      <x:c r="A265" s="6" t="n">
        <x:v>45943</x:v>
      </x:c>
      <x:c r="B265" t="n">
        <x:v>2025</x:v>
      </x:c>
      <x:c r="C265" t="str">
        <x:v>Out</x:v>
      </x:c>
      <x:c r="D265" t="str">
        <x:v>Plantio 08/2025</x:v>
      </x:c>
      <x:c r="E265" t="str">
        <x:v>Mão de Obra</x:v>
      </x:c>
      <x:c r="F265" t="str">
        <x:v>Plantio Novo</x:v>
      </x:c>
      <x:c r="G265" t="str">
        <x:v>Aplicação de herbicida</x:v>
      </x:c>
      <x:c r="H265" t="str">
        <x:v>Herbicida</x:v>
      </x:c>
      <x:c r="I265" s="10" t="n">
        <x:v>3.54</x:v>
      </x:c>
      <x:c r="J265" t="str">
        <x:v>Hora</x:v>
      </x:c>
      <x:c r="K265" s="8" t="n">
        <x:v>26</x:v>
      </x:c>
      <x:c r="L265" s="8" t="n">
        <x:v>92.04</x:v>
      </x:c>
      <x:c r="M265" t="str">
        <x:v>João Santos</x:v>
      </x:c>
      <x:c r="N265" t="str">
        <x:v>Talhão Novo 08/2025</x:v>
      </x:c>
      <x:c r="O265" t="str">
        <x:v>Sim</x:v>
      </x:c>
      <x:c r="P265" t="str">
        <x:v>Plantio novo fictício</x:v>
      </x:c>
    </x:row>
    <x:row r="266">
      <x:c r="A266" s="6" t="n">
        <x:v>45945</x:v>
      </x:c>
      <x:c r="B266" t="n">
        <x:v>2025</x:v>
      </x:c>
      <x:c r="C266" t="str">
        <x:v>Out</x:v>
      </x:c>
      <x:c r="D266" t="str">
        <x:v>2025</x:v>
      </x:c>
      <x:c r="E266" t="str">
        <x:v>Mão de Obra</x:v>
      </x:c>
      <x:c r="F266" t="str">
        <x:v>Mão de Obra</x:v>
      </x:c>
      <x:c r="G266" t="str">
        <x:v>Irrigação</x:v>
      </x:c>
      <x:c r="H266" t="str">
        <x:v>Irrigação</x:v>
      </x:c>
      <x:c r="I266" s="10" t="n">
        <x:v>8.45</x:v>
      </x:c>
      <x:c r="J266" t="str">
        <x:v>Hora</x:v>
      </x:c>
      <x:c r="K266" s="8" t="n">
        <x:v>23</x:v>
      </x:c>
      <x:c r="L266" s="8" t="n">
        <x:v>194.35</x:v>
      </x:c>
      <x:c r="M266" t="str">
        <x:v>Lucas Pereira</x:v>
      </x:c>
      <x:c r="N266" t="str">
        <x:v>Poço 03</x:v>
      </x:c>
      <x:c r="O266" t="str">
        <x:v>Não</x:v>
      </x:c>
      <x:c r="P266" t="str">
        <x:v>Dado fictício para demonstração</x:v>
      </x:c>
    </x:row>
    <x:row r="267">
      <x:c r="A267" s="6" t="n">
        <x:v>45946</x:v>
      </x:c>
      <x:c r="B267" t="n">
        <x:v>2025</x:v>
      </x:c>
      <x:c r="C267" t="str">
        <x:v>Out</x:v>
      </x:c>
      <x:c r="D267" t="str">
        <x:v>2025</x:v>
      </x:c>
      <x:c r="E267" t="str">
        <x:v>Insumos</x:v>
      </x:c>
      <x:c r="F267" t="str">
        <x:v>Insumos</x:v>
      </x:c>
      <x:c r="G267" t="str">
        <x:v>Sulfato de Magnésio</x:v>
      </x:c>
      <x:c r="H267" t="str">
        <x:v>Nutrição</x:v>
      </x:c>
      <x:c r="I267" s="10" t="n">
        <x:v>63.82</x:v>
      </x:c>
      <x:c r="J267" t="str">
        <x:v>KG</x:v>
      </x:c>
      <x:c r="K267" s="8" t="n">
        <x:v>13.5</x:v>
      </x:c>
      <x:c r="L267" s="8" t="n">
        <x:v>861.57</x:v>
      </x:c>
      <x:c r="M267" t="str">
        <x:v>-</x:v>
      </x:c>
      <x:c r="N267" t="str">
        <x:v>Poço 04</x:v>
      </x:c>
      <x:c r="O267" t="str">
        <x:v>Não</x:v>
      </x:c>
      <x:c r="P267" t="str">
        <x:v>Dado fictício para demonstração</x:v>
      </x:c>
    </x:row>
    <x:row r="268">
      <x:c r="A268" s="6" t="n">
        <x:v>45947</x:v>
      </x:c>
      <x:c r="B268" t="n">
        <x:v>2025</x:v>
      </x:c>
      <x:c r="C268" t="str">
        <x:v>Out</x:v>
      </x:c>
      <x:c r="D268" t="str">
        <x:v>2025</x:v>
      </x:c>
      <x:c r="E268" t="str">
        <x:v>Mão de Obra</x:v>
      </x:c>
      <x:c r="F268" t="str">
        <x:v>Mão de Obra</x:v>
      </x:c>
      <x:c r="G268" t="str">
        <x:v>Capina</x:v>
      </x:c>
      <x:c r="H268" t="str">
        <x:v>Capina</x:v>
      </x:c>
      <x:c r="I268" s="10" t="n">
        <x:v>4.46</x:v>
      </x:c>
      <x:c r="J268" t="str">
        <x:v>Hora</x:v>
      </x:c>
      <x:c r="K268" s="8" t="n">
        <x:v>22</x:v>
      </x:c>
      <x:c r="L268" s="8" t="n">
        <x:v>98.12</x:v>
      </x:c>
      <x:c r="M268" t="str">
        <x:v>Daniel Costa</x:v>
      </x:c>
      <x:c r="N268" t="str">
        <x:v>Poço 02</x:v>
      </x:c>
      <x:c r="O268" t="str">
        <x:v>Não</x:v>
      </x:c>
      <x:c r="P268" t="str">
        <x:v>Dado fictício para demonstração</x:v>
      </x:c>
    </x:row>
    <x:row r="269">
      <x:c r="A269" s="6" t="n">
        <x:v>45948</x:v>
      </x:c>
      <x:c r="B269" t="n">
        <x:v>2025</x:v>
      </x:c>
      <x:c r="C269" t="str">
        <x:v>Out</x:v>
      </x:c>
      <x:c r="D269" t="str">
        <x:v>Plantio 08/2025</x:v>
      </x:c>
      <x:c r="E269" t="str">
        <x:v>Insumos</x:v>
      </x:c>
      <x:c r="F269" t="str">
        <x:v>Plantio Novo</x:v>
      </x:c>
      <x:c r="G269" t="str">
        <x:v>Sulfato de Magnésio</x:v>
      </x:c>
      <x:c r="H269" t="str">
        <x:v>Nutrição</x:v>
      </x:c>
      <x:c r="I269" s="10" t="n">
        <x:v>61.25</x:v>
      </x:c>
      <x:c r="J269" t="str">
        <x:v>KG</x:v>
      </x:c>
      <x:c r="K269" s="8" t="n">
        <x:v>13.5</x:v>
      </x:c>
      <x:c r="L269" s="8" t="n">
        <x:v>826.88</x:v>
      </x:c>
      <x:c r="M269" t="str">
        <x:v>-</x:v>
      </x:c>
      <x:c r="N269" t="str">
        <x:v>Talhão Novo 08/2025</x:v>
      </x:c>
      <x:c r="O269" t="str">
        <x:v>Sim</x:v>
      </x:c>
      <x:c r="P269" t="str">
        <x:v>Plantio novo fictício</x:v>
      </x:c>
    </x:row>
    <x:row r="270">
      <x:c r="A270" s="6" t="n">
        <x:v>45949</x:v>
      </x:c>
      <x:c r="B270" t="n">
        <x:v>2025</x:v>
      </x:c>
      <x:c r="C270" t="str">
        <x:v>Out</x:v>
      </x:c>
      <x:c r="D270" t="str">
        <x:v>2025</x:v>
      </x:c>
      <x:c r="E270" t="str">
        <x:v>Insumos</x:v>
      </x:c>
      <x:c r="F270" t="str">
        <x:v>Insumos</x:v>
      </x:c>
      <x:c r="G270" t="str">
        <x:v>Esterco de Gado</x:v>
      </x:c>
      <x:c r="H270" t="str">
        <x:v>Adubação</x:v>
      </x:c>
      <x:c r="I270" s="10" t="n">
        <x:v>6.8</x:v>
      </x:c>
      <x:c r="J270" t="str">
        <x:v>TON</x:v>
      </x:c>
      <x:c r="K270" s="8" t="n">
        <x:v>490</x:v>
      </x:c>
      <x:c r="L270" s="8" t="n">
        <x:v>3332</x:v>
      </x:c>
      <x:c r="M270" t="str">
        <x:v>-</x:v>
      </x:c>
      <x:c r="N270" t="str">
        <x:v>Poço 01</x:v>
      </x:c>
      <x:c r="O270" t="str">
        <x:v>Não</x:v>
      </x:c>
      <x:c r="P270" t="str">
        <x:v>Dado fictício para demonstração</x:v>
      </x:c>
    </x:row>
    <x:row r="271">
      <x:c r="A271" s="6" t="n">
        <x:v>45949</x:v>
      </x:c>
      <x:c r="B271" t="n">
        <x:v>2025</x:v>
      </x:c>
      <x:c r="C271" t="str">
        <x:v>Out</x:v>
      </x:c>
      <x:c r="D271" t="str">
        <x:v>2025</x:v>
      </x:c>
      <x:c r="E271" t="str">
        <x:v>Mão de Obra</x:v>
      </x:c>
      <x:c r="F271" t="str">
        <x:v>Mão de Obra</x:v>
      </x:c>
      <x:c r="G271" t="str">
        <x:v>Colheita</x:v>
      </x:c>
      <x:c r="H271" t="str">
        <x:v>Colheita</x:v>
      </x:c>
      <x:c r="I271" s="10" t="n">
        <x:v>13.47</x:v>
      </x:c>
      <x:c r="J271" t="str">
        <x:v>Hora</x:v>
      </x:c>
      <x:c r="K271" s="8" t="n">
        <x:v>28</x:v>
      </x:c>
      <x:c r="L271" s="8" t="n">
        <x:v>377.16</x:v>
      </x:c>
      <x:c r="M271" t="str">
        <x:v>Carlos Alberto</x:v>
      </x:c>
      <x:c r="N271" t="str">
        <x:v>Poço 02</x:v>
      </x:c>
      <x:c r="O271" t="str">
        <x:v>Não</x:v>
      </x:c>
      <x:c r="P271" t="str">
        <x:v>Dado fictício para demonstração</x:v>
      </x:c>
    </x:row>
    <x:row r="272">
      <x:c r="A272" s="6" t="n">
        <x:v>45950</x:v>
      </x:c>
      <x:c r="B272" t="n">
        <x:v>2025</x:v>
      </x:c>
      <x:c r="C272" t="str">
        <x:v>Out</x:v>
      </x:c>
      <x:c r="D272" t="str">
        <x:v>2025</x:v>
      </x:c>
      <x:c r="E272" t="str">
        <x:v>Insumos</x:v>
      </x:c>
      <x:c r="F272" t="str">
        <x:v>Insumos</x:v>
      </x:c>
      <x:c r="G272" t="str">
        <x:v>Bórax</x:v>
      </x:c>
      <x:c r="H272" t="str">
        <x:v>Nutrição</x:v>
      </x:c>
      <x:c r="I272" s="10" t="n">
        <x:v>21.3</x:v>
      </x:c>
      <x:c r="J272" t="str">
        <x:v>KG</x:v>
      </x:c>
      <x:c r="K272" s="8" t="n">
        <x:v>35.6</x:v>
      </x:c>
      <x:c r="L272" s="8" t="n">
        <x:v>758.28</x:v>
      </x:c>
      <x:c r="M272" t="str">
        <x:v>-</x:v>
      </x:c>
      <x:c r="N272" t="str">
        <x:v>Poço 03</x:v>
      </x:c>
      <x:c r="O272" t="str">
        <x:v>Não</x:v>
      </x:c>
      <x:c r="P272" t="str">
        <x:v>Dado fictício para demonstração</x:v>
      </x:c>
    </x:row>
    <x:row r="273">
      <x:c r="A273" s="6" t="n">
        <x:v>45950</x:v>
      </x:c>
      <x:c r="B273" t="n">
        <x:v>2025</x:v>
      </x:c>
      <x:c r="C273" t="str">
        <x:v>Out</x:v>
      </x:c>
      <x:c r="D273" t="str">
        <x:v>Plantio 08/2025</x:v>
      </x:c>
      <x:c r="E273" t="str">
        <x:v>Mão de Obra</x:v>
      </x:c>
      <x:c r="F273" t="str">
        <x:v>Plantio Novo</x:v>
      </x:c>
      <x:c r="G273" t="str">
        <x:v>Capina</x:v>
      </x:c>
      <x:c r="H273" t="str">
        <x:v>Capina</x:v>
      </x:c>
      <x:c r="I273" s="10" t="n">
        <x:v>5.44</x:v>
      </x:c>
      <x:c r="J273" t="str">
        <x:v>Hora</x:v>
      </x:c>
      <x:c r="K273" s="8" t="n">
        <x:v>22</x:v>
      </x:c>
      <x:c r="L273" s="8" t="n">
        <x:v>119.68</x:v>
      </x:c>
      <x:c r="M273" t="str">
        <x:v>Antônio Carlos</x:v>
      </x:c>
      <x:c r="N273" t="str">
        <x:v>Talhão Novo 08/2025</x:v>
      </x:c>
      <x:c r="O273" t="str">
        <x:v>Sim</x:v>
      </x:c>
      <x:c r="P273" t="str">
        <x:v>Plantio novo fictício</x:v>
      </x:c>
    </x:row>
    <x:row r="274">
      <x:c r="A274" s="6" t="n">
        <x:v>45953</x:v>
      </x:c>
      <x:c r="B274" t="n">
        <x:v>2025</x:v>
      </x:c>
      <x:c r="C274" t="str">
        <x:v>Out</x:v>
      </x:c>
      <x:c r="D274" t="str">
        <x:v>Plantio 08/2025</x:v>
      </x:c>
      <x:c r="E274" t="str">
        <x:v>Insumos</x:v>
      </x:c>
      <x:c r="F274" t="str">
        <x:v>Plantio Novo</x:v>
      </x:c>
      <x:c r="G274" t="str">
        <x:v>Esterco de Gado</x:v>
      </x:c>
      <x:c r="H274" t="str">
        <x:v>Adubação</x:v>
      </x:c>
      <x:c r="I274" s="10" t="n">
        <x:v>6.36</x:v>
      </x:c>
      <x:c r="J274" t="str">
        <x:v>TON</x:v>
      </x:c>
      <x:c r="K274" s="8" t="n">
        <x:v>490</x:v>
      </x:c>
      <x:c r="L274" s="8" t="n">
        <x:v>3116.4</x:v>
      </x:c>
      <x:c r="M274" t="str">
        <x:v>-</x:v>
      </x:c>
      <x:c r="N274" t="str">
        <x:v>Talhão Novo 08/2025</x:v>
      </x:c>
      <x:c r="O274" t="str">
        <x:v>Sim</x:v>
      </x:c>
      <x:c r="P274" t="str">
        <x:v>Plantio novo fictício</x:v>
      </x:c>
    </x:row>
    <x:row r="275">
      <x:c r="A275" s="6" t="n">
        <x:v>45954</x:v>
      </x:c>
      <x:c r="B275" t="n">
        <x:v>2025</x:v>
      </x:c>
      <x:c r="C275" t="str">
        <x:v>Out</x:v>
      </x:c>
      <x:c r="D275" t="str">
        <x:v>2025</x:v>
      </x:c>
      <x:c r="E275" t="str">
        <x:v>Custos Gerais</x:v>
      </x:c>
      <x:c r="F275" t="str">
        <x:v>Custos Gerais</x:v>
      </x:c>
      <x:c r="G275" t="str">
        <x:v>Manutenção de bomba</x:v>
      </x:c>
      <x:c r="H275" t="str">
        <x:v>Manutenção</x:v>
      </x:c>
      <x:c r="I275" s="10" t="n">
        <x:v>1.97</x:v>
      </x:c>
      <x:c r="J275" t="str">
        <x:v>UN</x:v>
      </x:c>
      <x:c r="K275" s="8" t="n">
        <x:v>450</x:v>
      </x:c>
      <x:c r="L275" s="8" t="n">
        <x:v>886.5</x:v>
      </x:c>
      <x:c r="M275" t="str">
        <x:v>-</x:v>
      </x:c>
      <x:c r="N275" t="str">
        <x:v>Poço 03</x:v>
      </x:c>
      <x:c r="O275" t="str">
        <x:v>Não</x:v>
      </x:c>
      <x:c r="P275" t="str">
        <x:v>Dado fictício para demonstração</x:v>
      </x:c>
    </x:row>
    <x:row r="276">
      <x:c r="A276" s="6" t="n">
        <x:v>45955</x:v>
      </x:c>
      <x:c r="B276" t="n">
        <x:v>2025</x:v>
      </x:c>
      <x:c r="C276" t="str">
        <x:v>Out</x:v>
      </x:c>
      <x:c r="D276" t="str">
        <x:v>2025</x:v>
      </x:c>
      <x:c r="E276" t="str">
        <x:v>Mão de Obra</x:v>
      </x:c>
      <x:c r="F276" t="str">
        <x:v>Mão de Obra</x:v>
      </x:c>
      <x:c r="G276" t="str">
        <x:v>Colheita</x:v>
      </x:c>
      <x:c r="H276" t="str">
        <x:v>Colheita</x:v>
      </x:c>
      <x:c r="I276" s="10" t="n">
        <x:v>13.6</x:v>
      </x:c>
      <x:c r="J276" t="str">
        <x:v>Hora</x:v>
      </x:c>
      <x:c r="K276" s="8" t="n">
        <x:v>28</x:v>
      </x:c>
      <x:c r="L276" s="8" t="n">
        <x:v>380.8</x:v>
      </x:c>
      <x:c r="M276" t="str">
        <x:v>José da Silva</x:v>
      </x:c>
      <x:c r="N276" t="str">
        <x:v>Poço 04</x:v>
      </x:c>
      <x:c r="O276" t="str">
        <x:v>Não</x:v>
      </x:c>
      <x:c r="P276" t="str">
        <x:v>Dado fictício para demonstração</x:v>
      </x:c>
    </x:row>
    <x:row r="277">
      <x:c r="A277" s="6" t="n">
        <x:v>45955</x:v>
      </x:c>
      <x:c r="B277" t="n">
        <x:v>2025</x:v>
      </x:c>
      <x:c r="C277" t="str">
        <x:v>Out</x:v>
      </x:c>
      <x:c r="D277" t="str">
        <x:v>Plantio 08/2025</x:v>
      </x:c>
      <x:c r="E277" t="str">
        <x:v>Insumos</x:v>
      </x:c>
      <x:c r="F277" t="str">
        <x:v>Plantio Novo</x:v>
      </x:c>
      <x:c r="G277" t="str">
        <x:v>Sulfato de Magnésio</x:v>
      </x:c>
      <x:c r="H277" t="str">
        <x:v>Nutrição</x:v>
      </x:c>
      <x:c r="I277" s="10" t="n">
        <x:v>55.47</x:v>
      </x:c>
      <x:c r="J277" t="str">
        <x:v>KG</x:v>
      </x:c>
      <x:c r="K277" s="8" t="n">
        <x:v>13.5</x:v>
      </x:c>
      <x:c r="L277" s="8" t="n">
        <x:v>748.85</x:v>
      </x:c>
      <x:c r="M277" t="str">
        <x:v>-</x:v>
      </x:c>
      <x:c r="N277" t="str">
        <x:v>Talhão Novo 08/2025</x:v>
      </x:c>
      <x:c r="O277" t="str">
        <x:v>Sim</x:v>
      </x:c>
      <x:c r="P277" t="str">
        <x:v>Plantio novo fictício</x:v>
      </x:c>
    </x:row>
    <x:row r="278">
      <x:c r="A278" s="6" t="n">
        <x:v>45958</x:v>
      </x:c>
      <x:c r="B278" t="n">
        <x:v>2025</x:v>
      </x:c>
      <x:c r="C278" t="str">
        <x:v>Out</x:v>
      </x:c>
      <x:c r="D278" t="str">
        <x:v>2025</x:v>
      </x:c>
      <x:c r="E278" t="str">
        <x:v>Produção</x:v>
      </x:c>
      <x:c r="F278" t="str">
        <x:v>Produção</x:v>
      </x:c>
      <x:c r="G278" t="str">
        <x:v>Caixas de Limão</x:v>
      </x:c>
      <x:c r="H278" t="str">
        <x:v>Produção mensal</x:v>
      </x:c>
      <x:c r="I278" s="10" t="n">
        <x:v>407</x:v>
      </x:c>
      <x:c r="J278" t="str">
        <x:v>CX</x:v>
      </x:c>
      <x:c r="K278" s="8" t="n">
        <x:v>0</x:v>
      </x:c>
      <x:c r="L278" s="8" t="n">
        <x:v>0</x:v>
      </x:c>
      <x:c r="M278" t="str">
        <x:v>-</x:v>
      </x:c>
      <x:c r="N278" t="str">
        <x:v>Geral</x:v>
      </x:c>
      <x:c r="O278" t="str">
        <x:v>Não</x:v>
      </x:c>
      <x:c r="P278" t="str">
        <x:v>Produção fictícia: 407 caixas</x:v>
      </x:c>
    </x:row>
    <x:row r="279">
      <x:c r="A279" s="6" t="n">
        <x:v>45963</x:v>
      </x:c>
      <x:c r="B279" t="n">
        <x:v>2025</x:v>
      </x:c>
      <x:c r="C279" t="str">
        <x:v>Nov</x:v>
      </x:c>
      <x:c r="D279" t="str">
        <x:v>2025</x:v>
      </x:c>
      <x:c r="E279" t="str">
        <x:v>Mão de Obra</x:v>
      </x:c>
      <x:c r="F279" t="str">
        <x:v>Mão de Obra</x:v>
      </x:c>
      <x:c r="G279" t="str">
        <x:v>Irrigação</x:v>
      </x:c>
      <x:c r="H279" t="str">
        <x:v>Irrigação</x:v>
      </x:c>
      <x:c r="I279" s="10" t="n">
        <x:v>7.15</x:v>
      </x:c>
      <x:c r="J279" t="str">
        <x:v>Hora</x:v>
      </x:c>
      <x:c r="K279" s="8" t="n">
        <x:v>23</x:v>
      </x:c>
      <x:c r="L279" s="8" t="n">
        <x:v>164.45</x:v>
      </x:c>
      <x:c r="M279" t="str">
        <x:v>João Santos</x:v>
      </x:c>
      <x:c r="N279" t="str">
        <x:v>Poço 02</x:v>
      </x:c>
      <x:c r="O279" t="str">
        <x:v>Não</x:v>
      </x:c>
      <x:c r="P279" t="str">
        <x:v>Dado fictício para demonstração</x:v>
      </x:c>
    </x:row>
    <x:row r="280">
      <x:c r="A280" s="6" t="n">
        <x:v>45963</x:v>
      </x:c>
      <x:c r="B280" t="n">
        <x:v>2025</x:v>
      </x:c>
      <x:c r="C280" t="str">
        <x:v>Nov</x:v>
      </x:c>
      <x:c r="D280" t="str">
        <x:v>2025</x:v>
      </x:c>
      <x:c r="E280" t="str">
        <x:v>Custos Gerais</x:v>
      </x:c>
      <x:c r="F280" t="str">
        <x:v>Custos Gerais</x:v>
      </x:c>
      <x:c r="G280" t="str">
        <x:v>Peças e reparos</x:v>
      </x:c>
      <x:c r="H280" t="str">
        <x:v>Manutenção</x:v>
      </x:c>
      <x:c r="I280" s="10" t="n">
        <x:v>2.2</x:v>
      </x:c>
      <x:c r="J280" t="str">
        <x:v>UN</x:v>
      </x:c>
      <x:c r="K280" s="8" t="n">
        <x:v>280</x:v>
      </x:c>
      <x:c r="L280" s="8" t="n">
        <x:v>616</x:v>
      </x:c>
      <x:c r="M280" t="str">
        <x:v>-</x:v>
      </x:c>
      <x:c r="N280" t="str">
        <x:v>Poço 01</x:v>
      </x:c>
      <x:c r="O280" t="str">
        <x:v>Não</x:v>
      </x:c>
      <x:c r="P280" t="str">
        <x:v>Dado fictício para demonstração</x:v>
      </x:c>
    </x:row>
    <x:row r="281">
      <x:c r="A281" s="6" t="n">
        <x:v>45964</x:v>
      </x:c>
      <x:c r="B281" t="n">
        <x:v>2025</x:v>
      </x:c>
      <x:c r="C281" t="str">
        <x:v>Nov</x:v>
      </x:c>
      <x:c r="D281" t="str">
        <x:v>2025</x:v>
      </x:c>
      <x:c r="E281" t="str">
        <x:v>Insumos</x:v>
      </x:c>
      <x:c r="F281" t="str">
        <x:v>Insumos</x:v>
      </x:c>
      <x:c r="G281" t="str">
        <x:v>Adubo 20.00.20</x:v>
      </x:c>
      <x:c r="H281" t="str">
        <x:v>Adubação</x:v>
      </x:c>
      <x:c r="I281" s="10" t="n">
        <x:v>49.69</x:v>
      </x:c>
      <x:c r="J281" t="str">
        <x:v>KG</x:v>
      </x:c>
      <x:c r="K281" s="8" t="n">
        <x:v>25</x:v>
      </x:c>
      <x:c r="L281" s="8" t="n">
        <x:v>1242.25</x:v>
      </x:c>
      <x:c r="M281" t="str">
        <x:v>-</x:v>
      </x:c>
      <x:c r="N281" t="str">
        <x:v>Poço 02</x:v>
      </x:c>
      <x:c r="O281" t="str">
        <x:v>Não</x:v>
      </x:c>
      <x:c r="P281" t="str">
        <x:v>Dado fictício para demonstração</x:v>
      </x:c>
    </x:row>
    <x:row r="282">
      <x:c r="A282" s="6" t="n">
        <x:v>45964</x:v>
      </x:c>
      <x:c r="B282" t="n">
        <x:v>2025</x:v>
      </x:c>
      <x:c r="C282" t="str">
        <x:v>Nov</x:v>
      </x:c>
      <x:c r="D282" t="str">
        <x:v>2025</x:v>
      </x:c>
      <x:c r="E282" t="str">
        <x:v>Mão de Obra</x:v>
      </x:c>
      <x:c r="F282" t="str">
        <x:v>Mão de Obra</x:v>
      </x:c>
      <x:c r="G282" t="str">
        <x:v>Pulverização</x:v>
      </x:c>
      <x:c r="H282" t="str">
        <x:v>Pulverização</x:v>
      </x:c>
      <x:c r="I282" s="10" t="n">
        <x:v>8.13</x:v>
      </x:c>
      <x:c r="J282" t="str">
        <x:v>Hora</x:v>
      </x:c>
      <x:c r="K282" s="8" t="n">
        <x:v>25</x:v>
      </x:c>
      <x:c r="L282" s="8" t="n">
        <x:v>203.25</x:v>
      </x:c>
      <x:c r="M282" t="str">
        <x:v>João Santos</x:v>
      </x:c>
      <x:c r="N282" t="str">
        <x:v>Poço 04</x:v>
      </x:c>
      <x:c r="O282" t="str">
        <x:v>Não</x:v>
      </x:c>
      <x:c r="P282" t="str">
        <x:v>Dado fictício para demonstração</x:v>
      </x:c>
    </x:row>
    <x:row r="283">
      <x:c r="A283" s="6" t="n">
        <x:v>45964</x:v>
      </x:c>
      <x:c r="B283" t="n">
        <x:v>2025</x:v>
      </x:c>
      <x:c r="C283" t="str">
        <x:v>Nov</x:v>
      </x:c>
      <x:c r="D283" t="str">
        <x:v>Plantio 08/2025</x:v>
      </x:c>
      <x:c r="E283" t="str">
        <x:v>Insumos</x:v>
      </x:c>
      <x:c r="F283" t="str">
        <x:v>Plantio Novo</x:v>
      </x:c>
      <x:c r="G283" t="str">
        <x:v>Bórax</x:v>
      </x:c>
      <x:c r="H283" t="str">
        <x:v>Nutrição</x:v>
      </x:c>
      <x:c r="I283" s="10" t="n">
        <x:v>13.66</x:v>
      </x:c>
      <x:c r="J283" t="str">
        <x:v>KG</x:v>
      </x:c>
      <x:c r="K283" s="8" t="n">
        <x:v>35.6</x:v>
      </x:c>
      <x:c r="L283" s="8" t="n">
        <x:v>486.3</x:v>
      </x:c>
      <x:c r="M283" t="str">
        <x:v>-</x:v>
      </x:c>
      <x:c r="N283" t="str">
        <x:v>Talhão Novo 08/2025</x:v>
      </x:c>
      <x:c r="O283" t="str">
        <x:v>Sim</x:v>
      </x:c>
      <x:c r="P283" t="str">
        <x:v>Plantio novo fictício</x:v>
      </x:c>
    </x:row>
    <x:row r="284">
      <x:c r="A284" s="6" t="n">
        <x:v>45965</x:v>
      </x:c>
      <x:c r="B284" t="n">
        <x:v>2025</x:v>
      </x:c>
      <x:c r="C284" t="str">
        <x:v>Nov</x:v>
      </x:c>
      <x:c r="D284" t="str">
        <x:v>Plantio 08/2025</x:v>
      </x:c>
      <x:c r="E284" t="str">
        <x:v>Insumos</x:v>
      </x:c>
      <x:c r="F284" t="str">
        <x:v>Plantio Novo</x:v>
      </x:c>
      <x:c r="G284" t="str">
        <x:v>Fosfato Monoamônico</x:v>
      </x:c>
      <x:c r="H284" t="str">
        <x:v>Nutrição</x:v>
      </x:c>
      <x:c r="I284" s="10" t="n">
        <x:v>49.27</x:v>
      </x:c>
      <x:c r="J284" t="str">
        <x:v>KG</x:v>
      </x:c>
      <x:c r="K284" s="8" t="n">
        <x:v>19.2</x:v>
      </x:c>
      <x:c r="L284" s="8" t="n">
        <x:v>945.98</x:v>
      </x:c>
      <x:c r="M284" t="str">
        <x:v>-</x:v>
      </x:c>
      <x:c r="N284" t="str">
        <x:v>Talhão Novo 08/2025</x:v>
      </x:c>
      <x:c r="O284" t="str">
        <x:v>Sim</x:v>
      </x:c>
      <x:c r="P284" t="str">
        <x:v>Plantio novo fictício</x:v>
      </x:c>
    </x:row>
    <x:row r="285">
      <x:c r="A285" s="6" t="n">
        <x:v>45966</x:v>
      </x:c>
      <x:c r="B285" t="n">
        <x:v>2025</x:v>
      </x:c>
      <x:c r="C285" t="str">
        <x:v>Nov</x:v>
      </x:c>
      <x:c r="D285" t="str">
        <x:v>2025</x:v>
      </x:c>
      <x:c r="E285" t="str">
        <x:v>Mão de Obra</x:v>
      </x:c>
      <x:c r="F285" t="str">
        <x:v>Mão de Obra</x:v>
      </x:c>
      <x:c r="G285" t="str">
        <x:v>Aplicação de herbicida</x:v>
      </x:c>
      <x:c r="H285" t="str">
        <x:v>Herbicida</x:v>
      </x:c>
      <x:c r="I285" s="10" t="n">
        <x:v>5.55</x:v>
      </x:c>
      <x:c r="J285" t="str">
        <x:v>Hora</x:v>
      </x:c>
      <x:c r="K285" s="8" t="n">
        <x:v>26</x:v>
      </x:c>
      <x:c r="L285" s="8" t="n">
        <x:v>144.3</x:v>
      </x:c>
      <x:c r="M285" t="str">
        <x:v>Antônio Carlos</x:v>
      </x:c>
      <x:c r="N285" t="str">
        <x:v>Poço 03</x:v>
      </x:c>
      <x:c r="O285" t="str">
        <x:v>Não</x:v>
      </x:c>
      <x:c r="P285" t="str">
        <x:v>Dado fictício para demonstração</x:v>
      </x:c>
    </x:row>
    <x:row r="286">
      <x:c r="A286" s="6" t="n">
        <x:v>45966</x:v>
      </x:c>
      <x:c r="B286" t="n">
        <x:v>2025</x:v>
      </x:c>
      <x:c r="C286" t="str">
        <x:v>Nov</x:v>
      </x:c>
      <x:c r="D286" t="str">
        <x:v>Plantio 08/2025</x:v>
      </x:c>
      <x:c r="E286" t="str">
        <x:v>Mão de Obra</x:v>
      </x:c>
      <x:c r="F286" t="str">
        <x:v>Plantio Novo</x:v>
      </x:c>
      <x:c r="G286" t="str">
        <x:v>Desbrota</x:v>
      </x:c>
      <x:c r="H286" t="str">
        <x:v>Desbrota</x:v>
      </x:c>
      <x:c r="I286" s="10" t="n">
        <x:v>4.49</x:v>
      </x:c>
      <x:c r="J286" t="str">
        <x:v>Hora</x:v>
      </x:c>
      <x:c r="K286" s="8" t="n">
        <x:v>24</x:v>
      </x:c>
      <x:c r="L286" s="8" t="n">
        <x:v>107.76</x:v>
      </x:c>
      <x:c r="M286" t="str">
        <x:v>Daniel Costa</x:v>
      </x:c>
      <x:c r="N286" t="str">
        <x:v>Talhão Novo 08/2025</x:v>
      </x:c>
      <x:c r="O286" t="str">
        <x:v>Sim</x:v>
      </x:c>
      <x:c r="P286" t="str">
        <x:v>Plantio novo fictício</x:v>
      </x:c>
    </x:row>
    <x:row r="287">
      <x:c r="A287" s="6" t="n">
        <x:v>45967</x:v>
      </x:c>
      <x:c r="B287" t="n">
        <x:v>2025</x:v>
      </x:c>
      <x:c r="C287" t="str">
        <x:v>Nov</x:v>
      </x:c>
      <x:c r="D287" t="str">
        <x:v>2025</x:v>
      </x:c>
      <x:c r="E287" t="str">
        <x:v>Insumos</x:v>
      </x:c>
      <x:c r="F287" t="str">
        <x:v>Insumos</x:v>
      </x:c>
      <x:c r="G287" t="str">
        <x:v>Esterco de Gado</x:v>
      </x:c>
      <x:c r="H287" t="str">
        <x:v>Adubação</x:v>
      </x:c>
      <x:c r="I287" s="10" t="n">
        <x:v>7.78</x:v>
      </x:c>
      <x:c r="J287" t="str">
        <x:v>TON</x:v>
      </x:c>
      <x:c r="K287" s="8" t="n">
        <x:v>490</x:v>
      </x:c>
      <x:c r="L287" s="8" t="n">
        <x:v>3812.2</x:v>
      </x:c>
      <x:c r="M287" t="str">
        <x:v>-</x:v>
      </x:c>
      <x:c r="N287" t="str">
        <x:v>Poço 03</x:v>
      </x:c>
      <x:c r="O287" t="str">
        <x:v>Não</x:v>
      </x:c>
      <x:c r="P287" t="str">
        <x:v>Dado fictício para demonstração</x:v>
      </x:c>
    </x:row>
    <x:row r="288">
      <x:c r="A288" s="6" t="n">
        <x:v>45968</x:v>
      </x:c>
      <x:c r="B288" t="n">
        <x:v>2025</x:v>
      </x:c>
      <x:c r="C288" t="str">
        <x:v>Nov</x:v>
      </x:c>
      <x:c r="D288" t="str">
        <x:v>2025</x:v>
      </x:c>
      <x:c r="E288" t="str">
        <x:v>Mão de Obra</x:v>
      </x:c>
      <x:c r="F288" t="str">
        <x:v>Mão de Obra</x:v>
      </x:c>
      <x:c r="G288" t="str">
        <x:v>Desbrota</x:v>
      </x:c>
      <x:c r="H288" t="str">
        <x:v>Desbrota</x:v>
      </x:c>
      <x:c r="I288" s="10" t="n">
        <x:v>13.56</x:v>
      </x:c>
      <x:c r="J288" t="str">
        <x:v>Hora</x:v>
      </x:c>
      <x:c r="K288" s="8" t="n">
        <x:v>24</x:v>
      </x:c>
      <x:c r="L288" s="8" t="n">
        <x:v>325.44</x:v>
      </x:c>
      <x:c r="M288" t="str">
        <x:v>João Santos</x:v>
      </x:c>
      <x:c r="N288" t="str">
        <x:v>Poço 04</x:v>
      </x:c>
      <x:c r="O288" t="str">
        <x:v>Não</x:v>
      </x:c>
      <x:c r="P288" t="str">
        <x:v>Dado fictício para demonstração</x:v>
      </x:c>
    </x:row>
    <x:row r="289">
      <x:c r="A289" s="6" t="n">
        <x:v>45968</x:v>
      </x:c>
      <x:c r="B289" t="n">
        <x:v>2025</x:v>
      </x:c>
      <x:c r="C289" t="str">
        <x:v>Nov</x:v>
      </x:c>
      <x:c r="D289" t="str">
        <x:v>2025</x:v>
      </x:c>
      <x:c r="E289" t="str">
        <x:v>Mão de Obra</x:v>
      </x:c>
      <x:c r="F289" t="str">
        <x:v>Mão de Obra</x:v>
      </x:c>
      <x:c r="G289" t="str">
        <x:v>Capina</x:v>
      </x:c>
      <x:c r="H289" t="str">
        <x:v>Capina</x:v>
      </x:c>
      <x:c r="I289" s="10" t="n">
        <x:v>8.84</x:v>
      </x:c>
      <x:c r="J289" t="str">
        <x:v>Hora</x:v>
      </x:c>
      <x:c r="K289" s="8" t="n">
        <x:v>22</x:v>
      </x:c>
      <x:c r="L289" s="8" t="n">
        <x:v>194.48</x:v>
      </x:c>
      <x:c r="M289" t="str">
        <x:v>João Santos</x:v>
      </x:c>
      <x:c r="N289" t="str">
        <x:v>Poço 03</x:v>
      </x:c>
      <x:c r="O289" t="str">
        <x:v>Não</x:v>
      </x:c>
      <x:c r="P289" t="str">
        <x:v>Dado fictício para demonstração</x:v>
      </x:c>
    </x:row>
    <x:row r="290">
      <x:c r="A290" s="6" t="n">
        <x:v>45969</x:v>
      </x:c>
      <x:c r="B290" t="n">
        <x:v>2025</x:v>
      </x:c>
      <x:c r="C290" t="str">
        <x:v>Nov</x:v>
      </x:c>
      <x:c r="D290" t="str">
        <x:v>2025</x:v>
      </x:c>
      <x:c r="E290" t="str">
        <x:v>Insumos</x:v>
      </x:c>
      <x:c r="F290" t="str">
        <x:v>Insumos</x:v>
      </x:c>
      <x:c r="G290" t="str">
        <x:v>Bórax</x:v>
      </x:c>
      <x:c r="H290" t="str">
        <x:v>Nutrição</x:v>
      </x:c>
      <x:c r="I290" s="10" t="n">
        <x:v>18.7</x:v>
      </x:c>
      <x:c r="J290" t="str">
        <x:v>KG</x:v>
      </x:c>
      <x:c r="K290" s="8" t="n">
        <x:v>35.6</x:v>
      </x:c>
      <x:c r="L290" s="8" t="n">
        <x:v>665.72</x:v>
      </x:c>
      <x:c r="M290" t="str">
        <x:v>-</x:v>
      </x:c>
      <x:c r="N290" t="str">
        <x:v>Poço 01</x:v>
      </x:c>
      <x:c r="O290" t="str">
        <x:v>Não</x:v>
      </x:c>
      <x:c r="P290" t="str">
        <x:v>Dado fictício para demonstração</x:v>
      </x:c>
    </x:row>
    <x:row r="291">
      <x:c r="A291" s="6" t="n">
        <x:v>45969</x:v>
      </x:c>
      <x:c r="B291" t="n">
        <x:v>2025</x:v>
      </x:c>
      <x:c r="C291" t="str">
        <x:v>Nov</x:v>
      </x:c>
      <x:c r="D291" t="str">
        <x:v>Plantio 08/2025</x:v>
      </x:c>
      <x:c r="E291" t="str">
        <x:v>Insumos</x:v>
      </x:c>
      <x:c r="F291" t="str">
        <x:v>Plantio Novo</x:v>
      </x:c>
      <x:c r="G291" t="str">
        <x:v>Nitrato de Amônia</x:v>
      </x:c>
      <x:c r="H291" t="str">
        <x:v>Nutrição</x:v>
      </x:c>
      <x:c r="I291" s="10" t="n">
        <x:v>45.91</x:v>
      </x:c>
      <x:c r="J291" t="str">
        <x:v>KG</x:v>
      </x:c>
      <x:c r="K291" s="8" t="n">
        <x:v>18.5</x:v>
      </x:c>
      <x:c r="L291" s="8" t="n">
        <x:v>849.33</x:v>
      </x:c>
      <x:c r="M291" t="str">
        <x:v>-</x:v>
      </x:c>
      <x:c r="N291" t="str">
        <x:v>Talhão Novo 08/2025</x:v>
      </x:c>
      <x:c r="O291" t="str">
        <x:v>Sim</x:v>
      </x:c>
      <x:c r="P291" t="str">
        <x:v>Plantio novo fictício</x:v>
      </x:c>
    </x:row>
    <x:row r="292">
      <x:c r="A292" s="6" t="n">
        <x:v>45970</x:v>
      </x:c>
      <x:c r="B292" t="n">
        <x:v>2025</x:v>
      </x:c>
      <x:c r="C292" t="str">
        <x:v>Nov</x:v>
      </x:c>
      <x:c r="D292" t="str">
        <x:v>2025</x:v>
      </x:c>
      <x:c r="E292" t="str">
        <x:v>Insumos</x:v>
      </x:c>
      <x:c r="F292" t="str">
        <x:v>Insumos</x:v>
      </x:c>
      <x:c r="G292" t="str">
        <x:v>Adubo 20.00.20</x:v>
      </x:c>
      <x:c r="H292" t="str">
        <x:v>Adubação</x:v>
      </x:c>
      <x:c r="I292" s="10" t="n">
        <x:v>47.99</x:v>
      </x:c>
      <x:c r="J292" t="str">
        <x:v>KG</x:v>
      </x:c>
      <x:c r="K292" s="8" t="n">
        <x:v>25</x:v>
      </x:c>
      <x:c r="L292" s="8" t="n">
        <x:v>1199.75</x:v>
      </x:c>
      <x:c r="M292" t="str">
        <x:v>-</x:v>
      </x:c>
      <x:c r="N292" t="str">
        <x:v>Poço 01</x:v>
      </x:c>
      <x:c r="O292" t="str">
        <x:v>Não</x:v>
      </x:c>
      <x:c r="P292" t="str">
        <x:v>Dado fictício para demonstração</x:v>
      </x:c>
    </x:row>
    <x:row r="293">
      <x:c r="A293" s="6" t="n">
        <x:v>45971</x:v>
      </x:c>
      <x:c r="B293" t="n">
        <x:v>2025</x:v>
      </x:c>
      <x:c r="C293" t="str">
        <x:v>Nov</x:v>
      </x:c>
      <x:c r="D293" t="str">
        <x:v>2025</x:v>
      </x:c>
      <x:c r="E293" t="str">
        <x:v>Mão de Obra</x:v>
      </x:c>
      <x:c r="F293" t="str">
        <x:v>Mão de Obra</x:v>
      </x:c>
      <x:c r="G293" t="str">
        <x:v>Colheita</x:v>
      </x:c>
      <x:c r="H293" t="str">
        <x:v>Colheita</x:v>
      </x:c>
      <x:c r="I293" s="10" t="n">
        <x:v>9.74</x:v>
      </x:c>
      <x:c r="J293" t="str">
        <x:v>Hora</x:v>
      </x:c>
      <x:c r="K293" s="8" t="n">
        <x:v>28</x:v>
      </x:c>
      <x:c r="L293" s="8" t="n">
        <x:v>272.72</x:v>
      </x:c>
      <x:c r="M293" t="str">
        <x:v>Rogério Lima</x:v>
      </x:c>
      <x:c r="N293" t="str">
        <x:v>Poço 02</x:v>
      </x:c>
      <x:c r="O293" t="str">
        <x:v>Não</x:v>
      </x:c>
      <x:c r="P293" t="str">
        <x:v>Dado fictício para demonstração</x:v>
      </x:c>
    </x:row>
    <x:row r="294">
      <x:c r="A294" s="6" t="n">
        <x:v>45971</x:v>
      </x:c>
      <x:c r="B294" t="n">
        <x:v>2025</x:v>
      </x:c>
      <x:c r="C294" t="str">
        <x:v>Nov</x:v>
      </x:c>
      <x:c r="D294" t="str">
        <x:v>Plantio 08/2025</x:v>
      </x:c>
      <x:c r="E294" t="str">
        <x:v>Insumos</x:v>
      </x:c>
      <x:c r="F294" t="str">
        <x:v>Plantio Novo</x:v>
      </x:c>
      <x:c r="G294" t="str">
        <x:v>Bórax</x:v>
      </x:c>
      <x:c r="H294" t="str">
        <x:v>Nutrição</x:v>
      </x:c>
      <x:c r="I294" s="10" t="n">
        <x:v>15.64</x:v>
      </x:c>
      <x:c r="J294" t="str">
        <x:v>KG</x:v>
      </x:c>
      <x:c r="K294" s="8" t="n">
        <x:v>35.6</x:v>
      </x:c>
      <x:c r="L294" s="8" t="n">
        <x:v>556.78</x:v>
      </x:c>
      <x:c r="M294" t="str">
        <x:v>-</x:v>
      </x:c>
      <x:c r="N294" t="str">
        <x:v>Talhão Novo 08/2025</x:v>
      </x:c>
      <x:c r="O294" t="str">
        <x:v>Sim</x:v>
      </x:c>
      <x:c r="P294" t="str">
        <x:v>Plantio novo fictício</x:v>
      </x:c>
    </x:row>
    <x:row r="295">
      <x:c r="A295" s="6" t="n">
        <x:v>45971</x:v>
      </x:c>
      <x:c r="B295" t="n">
        <x:v>2025</x:v>
      </x:c>
      <x:c r="C295" t="str">
        <x:v>Nov</x:v>
      </x:c>
      <x:c r="D295" t="str">
        <x:v>Plantio 08/2025</x:v>
      </x:c>
      <x:c r="E295" t="str">
        <x:v>Mão de Obra</x:v>
      </x:c>
      <x:c r="F295" t="str">
        <x:v>Plantio Novo</x:v>
      </x:c>
      <x:c r="G295" t="str">
        <x:v>Aplicação de herbicida</x:v>
      </x:c>
      <x:c r="H295" t="str">
        <x:v>Herbicida</x:v>
      </x:c>
      <x:c r="I295" s="10" t="n">
        <x:v>3.43</x:v>
      </x:c>
      <x:c r="J295" t="str">
        <x:v>Hora</x:v>
      </x:c>
      <x:c r="K295" s="8" t="n">
        <x:v>26</x:v>
      </x:c>
      <x:c r="L295" s="8" t="n">
        <x:v>89.18</x:v>
      </x:c>
      <x:c r="M295" t="str">
        <x:v>Carlos Alberto</x:v>
      </x:c>
      <x:c r="N295" t="str">
        <x:v>Talhão Novo 08/2025</x:v>
      </x:c>
      <x:c r="O295" t="str">
        <x:v>Sim</x:v>
      </x:c>
      <x:c r="P295" t="str">
        <x:v>Plantio novo fictício</x:v>
      </x:c>
    </x:row>
    <x:row r="296">
      <x:c r="A296" s="6" t="n">
        <x:v>45972</x:v>
      </x:c>
      <x:c r="B296" t="n">
        <x:v>2025</x:v>
      </x:c>
      <x:c r="C296" t="str">
        <x:v>Nov</x:v>
      </x:c>
      <x:c r="D296" t="str">
        <x:v>Plantio 08/2025</x:v>
      </x:c>
      <x:c r="E296" t="str">
        <x:v>Insumos</x:v>
      </x:c>
      <x:c r="F296" t="str">
        <x:v>Plantio Novo</x:v>
      </x:c>
      <x:c r="G296" t="str">
        <x:v>Adubo 20.00.20</x:v>
      </x:c>
      <x:c r="H296" t="str">
        <x:v>Adubação</x:v>
      </x:c>
      <x:c r="I296" s="10" t="n">
        <x:v>49.74</x:v>
      </x:c>
      <x:c r="J296" t="str">
        <x:v>KG</x:v>
      </x:c>
      <x:c r="K296" s="8" t="n">
        <x:v>25</x:v>
      </x:c>
      <x:c r="L296" s="8" t="n">
        <x:v>1243.5</x:v>
      </x:c>
      <x:c r="M296" t="str">
        <x:v>-</x:v>
      </x:c>
      <x:c r="N296" t="str">
        <x:v>Talhão Novo 08/2025</x:v>
      </x:c>
      <x:c r="O296" t="str">
        <x:v>Sim</x:v>
      </x:c>
      <x:c r="P296" t="str">
        <x:v>Plantio novo fictício</x:v>
      </x:c>
    </x:row>
    <x:row r="297">
      <x:c r="A297" s="6" t="n">
        <x:v>45973</x:v>
      </x:c>
      <x:c r="B297" t="n">
        <x:v>2025</x:v>
      </x:c>
      <x:c r="C297" t="str">
        <x:v>Nov</x:v>
      </x:c>
      <x:c r="D297" t="str">
        <x:v>2025</x:v>
      </x:c>
      <x:c r="E297" t="str">
        <x:v>Insumos</x:v>
      </x:c>
      <x:c r="F297" t="str">
        <x:v>Insumos</x:v>
      </x:c>
      <x:c r="G297" t="str">
        <x:v>Glifosato</x:v>
      </x:c>
      <x:c r="H297" t="str">
        <x:v>Herbicida</x:v>
      </x:c>
      <x:c r="I297" s="10" t="n">
        <x:v>24.12</x:v>
      </x:c>
      <x:c r="J297" t="str">
        <x:v>LT</x:v>
      </x:c>
      <x:c r="K297" s="8" t="n">
        <x:v>44</x:v>
      </x:c>
      <x:c r="L297" s="8" t="n">
        <x:v>1061.28</x:v>
      </x:c>
      <x:c r="M297" t="str">
        <x:v>-</x:v>
      </x:c>
      <x:c r="N297" t="str">
        <x:v>Poço 03</x:v>
      </x:c>
      <x:c r="O297" t="str">
        <x:v>Não</x:v>
      </x:c>
      <x:c r="P297" t="str">
        <x:v>Dado fictício para demonstração</x:v>
      </x:c>
    </x:row>
    <x:row r="298">
      <x:c r="A298" s="6" t="n">
        <x:v>45973</x:v>
      </x:c>
      <x:c r="B298" t="n">
        <x:v>2025</x:v>
      </x:c>
      <x:c r="C298" t="str">
        <x:v>Nov</x:v>
      </x:c>
      <x:c r="D298" t="str">
        <x:v>2025</x:v>
      </x:c>
      <x:c r="E298" t="str">
        <x:v>Insumos</x:v>
      </x:c>
      <x:c r="F298" t="str">
        <x:v>Insumos</x:v>
      </x:c>
      <x:c r="G298" t="str">
        <x:v>Nitrato de Amônia</x:v>
      </x:c>
      <x:c r="H298" t="str">
        <x:v>Nutrição</x:v>
      </x:c>
      <x:c r="I298" s="10" t="n">
        <x:v>60.32</x:v>
      </x:c>
      <x:c r="J298" t="str">
        <x:v>KG</x:v>
      </x:c>
      <x:c r="K298" s="8" t="n">
        <x:v>18.5</x:v>
      </x:c>
      <x:c r="L298" s="8" t="n">
        <x:v>1115.92</x:v>
      </x:c>
      <x:c r="M298" t="str">
        <x:v>-</x:v>
      </x:c>
      <x:c r="N298" t="str">
        <x:v>Poço 01</x:v>
      </x:c>
      <x:c r="O298" t="str">
        <x:v>Não</x:v>
      </x:c>
      <x:c r="P298" t="str">
        <x:v>Dado fictício para demonstração</x:v>
      </x:c>
    </x:row>
    <x:row r="299">
      <x:c r="A299" s="6" t="n">
        <x:v>45974</x:v>
      </x:c>
      <x:c r="B299" t="n">
        <x:v>2025</x:v>
      </x:c>
      <x:c r="C299" t="str">
        <x:v>Nov</x:v>
      </x:c>
      <x:c r="D299" t="str">
        <x:v>2025</x:v>
      </x:c>
      <x:c r="E299" t="str">
        <x:v>Insumos</x:v>
      </x:c>
      <x:c r="F299" t="str">
        <x:v>Insumos</x:v>
      </x:c>
      <x:c r="G299" t="str">
        <x:v>Ureia</x:v>
      </x:c>
      <x:c r="H299" t="str">
        <x:v>Adubação</x:v>
      </x:c>
      <x:c r="I299" s="10" t="n">
        <x:v>39.8</x:v>
      </x:c>
      <x:c r="J299" t="str">
        <x:v>KG</x:v>
      </x:c>
      <x:c r="K299" s="8" t="n">
        <x:v>16.8</x:v>
      </x:c>
      <x:c r="L299" s="8" t="n">
        <x:v>668.64</x:v>
      </x:c>
      <x:c r="M299" t="str">
        <x:v>-</x:v>
      </x:c>
      <x:c r="N299" t="str">
        <x:v>Poço 03</x:v>
      </x:c>
      <x:c r="O299" t="str">
        <x:v>Não</x:v>
      </x:c>
      <x:c r="P299" t="str">
        <x:v>Dado fictício para demonstração</x:v>
      </x:c>
    </x:row>
    <x:row r="300">
      <x:c r="A300" s="6" t="n">
        <x:v>45975</x:v>
      </x:c>
      <x:c r="B300" t="n">
        <x:v>2025</x:v>
      </x:c>
      <x:c r="C300" t="str">
        <x:v>Nov</x:v>
      </x:c>
      <x:c r="D300" t="str">
        <x:v>2025</x:v>
      </x:c>
      <x:c r="E300" t="str">
        <x:v>Insumos</x:v>
      </x:c>
      <x:c r="F300" t="str">
        <x:v>Insumos</x:v>
      </x:c>
      <x:c r="G300" t="str">
        <x:v>Nitrato de Amônia</x:v>
      </x:c>
      <x:c r="H300" t="str">
        <x:v>Nutrição</x:v>
      </x:c>
      <x:c r="I300" s="10" t="n">
        <x:v>47.04</x:v>
      </x:c>
      <x:c r="J300" t="str">
        <x:v>KG</x:v>
      </x:c>
      <x:c r="K300" s="8" t="n">
        <x:v>18.5</x:v>
      </x:c>
      <x:c r="L300" s="8" t="n">
        <x:v>870.24</x:v>
      </x:c>
      <x:c r="M300" t="str">
        <x:v>-</x:v>
      </x:c>
      <x:c r="N300" t="str">
        <x:v>Poço 02</x:v>
      </x:c>
      <x:c r="O300" t="str">
        <x:v>Não</x:v>
      </x:c>
      <x:c r="P300" t="str">
        <x:v>Dado fictício para demonstração</x:v>
      </x:c>
    </x:row>
    <x:row r="301">
      <x:c r="A301" s="6" t="n">
        <x:v>45975</x:v>
      </x:c>
      <x:c r="B301" t="n">
        <x:v>2025</x:v>
      </x:c>
      <x:c r="C301" t="str">
        <x:v>Nov</x:v>
      </x:c>
      <x:c r="D301" t="str">
        <x:v>2025</x:v>
      </x:c>
      <x:c r="E301" t="str">
        <x:v>Mão de Obra</x:v>
      </x:c>
      <x:c r="F301" t="str">
        <x:v>Mão de Obra</x:v>
      </x:c>
      <x:c r="G301" t="str">
        <x:v>Pulverização</x:v>
      </x:c>
      <x:c r="H301" t="str">
        <x:v>Pulverização</x:v>
      </x:c>
      <x:c r="I301" s="10" t="n">
        <x:v>8.34</x:v>
      </x:c>
      <x:c r="J301" t="str">
        <x:v>Hora</x:v>
      </x:c>
      <x:c r="K301" s="8" t="n">
        <x:v>25</x:v>
      </x:c>
      <x:c r="L301" s="8" t="n">
        <x:v>208.5</x:v>
      </x:c>
      <x:c r="M301" t="str">
        <x:v>Lucas Pereira</x:v>
      </x:c>
      <x:c r="N301" t="str">
        <x:v>Poço 03</x:v>
      </x:c>
      <x:c r="O301" t="str">
        <x:v>Não</x:v>
      </x:c>
      <x:c r="P301" t="str">
        <x:v>Dado fictício para demonstração</x:v>
      </x:c>
    </x:row>
    <x:row r="302">
      <x:c r="A302" s="6" t="n">
        <x:v>45977</x:v>
      </x:c>
      <x:c r="B302" t="n">
        <x:v>2025</x:v>
      </x:c>
      <x:c r="C302" t="str">
        <x:v>Nov</x:v>
      </x:c>
      <x:c r="D302" t="str">
        <x:v>2025</x:v>
      </x:c>
      <x:c r="E302" t="str">
        <x:v>Mão de Obra</x:v>
      </x:c>
      <x:c r="F302" t="str">
        <x:v>Mão de Obra</x:v>
      </x:c>
      <x:c r="G302" t="str">
        <x:v>Roçada</x:v>
      </x:c>
      <x:c r="H302" t="str">
        <x:v>Roçada</x:v>
      </x:c>
      <x:c r="I302" s="10" t="n">
        <x:v>5.35</x:v>
      </x:c>
      <x:c r="J302" t="str">
        <x:v>Hora</x:v>
      </x:c>
      <x:c r="K302" s="8" t="n">
        <x:v>22</x:v>
      </x:c>
      <x:c r="L302" s="8" t="n">
        <x:v>117.7</x:v>
      </x:c>
      <x:c r="M302" t="str">
        <x:v>José da Silva</x:v>
      </x:c>
      <x:c r="N302" t="str">
        <x:v>Poço 01</x:v>
      </x:c>
      <x:c r="O302" t="str">
        <x:v>Não</x:v>
      </x:c>
      <x:c r="P302" t="str">
        <x:v>Dado fictício para demonstração</x:v>
      </x:c>
    </x:row>
    <x:row r="303">
      <x:c r="A303" s="6" t="n">
        <x:v>45977</x:v>
      </x:c>
      <x:c r="B303" t="n">
        <x:v>2025</x:v>
      </x:c>
      <x:c r="C303" t="str">
        <x:v>Nov</x:v>
      </x:c>
      <x:c r="D303" t="str">
        <x:v>2025</x:v>
      </x:c>
      <x:c r="E303" t="str">
        <x:v>Mão de Obra</x:v>
      </x:c>
      <x:c r="F303" t="str">
        <x:v>Mão de Obra</x:v>
      </x:c>
      <x:c r="G303" t="str">
        <x:v>Colheita</x:v>
      </x:c>
      <x:c r="H303" t="str">
        <x:v>Colheita</x:v>
      </x:c>
      <x:c r="I303" s="10" t="n">
        <x:v>18.51</x:v>
      </x:c>
      <x:c r="J303" t="str">
        <x:v>Hora</x:v>
      </x:c>
      <x:c r="K303" s="8" t="n">
        <x:v>28</x:v>
      </x:c>
      <x:c r="L303" s="8" t="n">
        <x:v>518.28</x:v>
      </x:c>
      <x:c r="M303" t="str">
        <x:v>Marcos Paulo</x:v>
      </x:c>
      <x:c r="N303" t="str">
        <x:v>Poço 02</x:v>
      </x:c>
      <x:c r="O303" t="str">
        <x:v>Não</x:v>
      </x:c>
      <x:c r="P303" t="str">
        <x:v>Dado fictício para demonstração</x:v>
      </x:c>
    </x:row>
    <x:row r="304">
      <x:c r="A304" s="6" t="n">
        <x:v>45978</x:v>
      </x:c>
      <x:c r="B304" t="n">
        <x:v>2025</x:v>
      </x:c>
      <x:c r="C304" t="str">
        <x:v>Nov</x:v>
      </x:c>
      <x:c r="D304" t="str">
        <x:v>2025</x:v>
      </x:c>
      <x:c r="E304" t="str">
        <x:v>Mão de Obra</x:v>
      </x:c>
      <x:c r="F304" t="str">
        <x:v>Mão de Obra</x:v>
      </x:c>
      <x:c r="G304" t="str">
        <x:v>Colheita</x:v>
      </x:c>
      <x:c r="H304" t="str">
        <x:v>Colheita</x:v>
      </x:c>
      <x:c r="I304" s="10" t="n">
        <x:v>9.58</x:v>
      </x:c>
      <x:c r="J304" t="str">
        <x:v>Hora</x:v>
      </x:c>
      <x:c r="K304" s="8" t="n">
        <x:v>28</x:v>
      </x:c>
      <x:c r="L304" s="8" t="n">
        <x:v>268.24</x:v>
      </x:c>
      <x:c r="M304" t="str">
        <x:v>Pedro Oliveira</x:v>
      </x:c>
      <x:c r="N304" t="str">
        <x:v>Poço 01</x:v>
      </x:c>
      <x:c r="O304" t="str">
        <x:v>Não</x:v>
      </x:c>
      <x:c r="P304" t="str">
        <x:v>Dado fictício para demonstração</x:v>
      </x:c>
    </x:row>
    <x:row r="305">
      <x:c r="A305" s="6" t="n">
        <x:v>45981</x:v>
      </x:c>
      <x:c r="B305" t="n">
        <x:v>2025</x:v>
      </x:c>
      <x:c r="C305" t="str">
        <x:v>Nov</x:v>
      </x:c>
      <x:c r="D305" t="str">
        <x:v>2025</x:v>
      </x:c>
      <x:c r="E305" t="str">
        <x:v>Insumos</x:v>
      </x:c>
      <x:c r="F305" t="str">
        <x:v>Insumos</x:v>
      </x:c>
      <x:c r="G305" t="str">
        <x:v>Vertimec</x:v>
      </x:c>
      <x:c r="H305" t="str">
        <x:v>Defensivos</x:v>
      </x:c>
      <x:c r="I305" s="10" t="n">
        <x:v>3.18</x:v>
      </x:c>
      <x:c r="J305" t="str">
        <x:v>LT</x:v>
      </x:c>
      <x:c r="K305" s="8" t="n">
        <x:v>630</x:v>
      </x:c>
      <x:c r="L305" s="8" t="n">
        <x:v>2003.4</x:v>
      </x:c>
      <x:c r="M305" t="str">
        <x:v>-</x:v>
      </x:c>
      <x:c r="N305" t="str">
        <x:v>Poço 04</x:v>
      </x:c>
      <x:c r="O305" t="str">
        <x:v>Não</x:v>
      </x:c>
      <x:c r="P305" t="str">
        <x:v>Dado fictício para demonstração</x:v>
      </x:c>
    </x:row>
    <x:row r="306">
      <x:c r="A306" s="6" t="n">
        <x:v>45981</x:v>
      </x:c>
      <x:c r="B306" t="n">
        <x:v>2025</x:v>
      </x:c>
      <x:c r="C306" t="str">
        <x:v>Nov</x:v>
      </x:c>
      <x:c r="D306" t="str">
        <x:v>2025</x:v>
      </x:c>
      <x:c r="E306" t="str">
        <x:v>Insumos</x:v>
      </x:c>
      <x:c r="F306" t="str">
        <x:v>Insumos</x:v>
      </x:c>
      <x:c r="G306" t="str">
        <x:v>Fosfato Monoamônico</x:v>
      </x:c>
      <x:c r="H306" t="str">
        <x:v>Nutrição</x:v>
      </x:c>
      <x:c r="I306" s="10" t="n">
        <x:v>70.85</x:v>
      </x:c>
      <x:c r="J306" t="str">
        <x:v>KG</x:v>
      </x:c>
      <x:c r="K306" s="8" t="n">
        <x:v>19.2</x:v>
      </x:c>
      <x:c r="L306" s="8" t="n">
        <x:v>1360.32</x:v>
      </x:c>
      <x:c r="M306" t="str">
        <x:v>-</x:v>
      </x:c>
      <x:c r="N306" t="str">
        <x:v>Poço 01</x:v>
      </x:c>
      <x:c r="O306" t="str">
        <x:v>Não</x:v>
      </x:c>
      <x:c r="P306" t="str">
        <x:v>Dado fictício para demonstração</x:v>
      </x:c>
    </x:row>
    <x:row r="307">
      <x:c r="A307" s="6" t="n">
        <x:v>45982</x:v>
      </x:c>
      <x:c r="B307" t="n">
        <x:v>2025</x:v>
      </x:c>
      <x:c r="C307" t="str">
        <x:v>Nov</x:v>
      </x:c>
      <x:c r="D307" t="str">
        <x:v>2025</x:v>
      </x:c>
      <x:c r="E307" t="str">
        <x:v>Mão de Obra</x:v>
      </x:c>
      <x:c r="F307" t="str">
        <x:v>Mão de Obra</x:v>
      </x:c>
      <x:c r="G307" t="str">
        <x:v>Roçada</x:v>
      </x:c>
      <x:c r="H307" t="str">
        <x:v>Roçada</x:v>
      </x:c>
      <x:c r="I307" s="10" t="n">
        <x:v>15.51</x:v>
      </x:c>
      <x:c r="J307" t="str">
        <x:v>Hora</x:v>
      </x:c>
      <x:c r="K307" s="8" t="n">
        <x:v>22</x:v>
      </x:c>
      <x:c r="L307" s="8" t="n">
        <x:v>341.22</x:v>
      </x:c>
      <x:c r="M307" t="str">
        <x:v>Carlos Alberto</x:v>
      </x:c>
      <x:c r="N307" t="str">
        <x:v>Poço 01</x:v>
      </x:c>
      <x:c r="O307" t="str">
        <x:v>Não</x:v>
      </x:c>
      <x:c r="P307" t="str">
        <x:v>Dado fictício para demonstração</x:v>
      </x:c>
    </x:row>
    <x:row r="308">
      <x:c r="A308" s="6" t="n">
        <x:v>45983</x:v>
      </x:c>
      <x:c r="B308" t="n">
        <x:v>2025</x:v>
      </x:c>
      <x:c r="C308" t="str">
        <x:v>Nov</x:v>
      </x:c>
      <x:c r="D308" t="str">
        <x:v>2025</x:v>
      </x:c>
      <x:c r="E308" t="str">
        <x:v>Insumos</x:v>
      </x:c>
      <x:c r="F308" t="str">
        <x:v>Insumos</x:v>
      </x:c>
      <x:c r="G308" t="str">
        <x:v>Ureia</x:v>
      </x:c>
      <x:c r="H308" t="str">
        <x:v>Adubação</x:v>
      </x:c>
      <x:c r="I308" s="10" t="n">
        <x:v>58.14</x:v>
      </x:c>
      <x:c r="J308" t="str">
        <x:v>KG</x:v>
      </x:c>
      <x:c r="K308" s="8" t="n">
        <x:v>16.8</x:v>
      </x:c>
      <x:c r="L308" s="8" t="n">
        <x:v>976.75</x:v>
      </x:c>
      <x:c r="M308" t="str">
        <x:v>-</x:v>
      </x:c>
      <x:c r="N308" t="str">
        <x:v>Poço 04</x:v>
      </x:c>
      <x:c r="O308" t="str">
        <x:v>Não</x:v>
      </x:c>
      <x:c r="P308" t="str">
        <x:v>Dado fictício para demonstração</x:v>
      </x:c>
    </x:row>
    <x:row r="309">
      <x:c r="A309" s="6" t="n">
        <x:v>45983</x:v>
      </x:c>
      <x:c r="B309" t="n">
        <x:v>2025</x:v>
      </x:c>
      <x:c r="C309" t="str">
        <x:v>Nov</x:v>
      </x:c>
      <x:c r="D309" t="str">
        <x:v>2025</x:v>
      </x:c>
      <x:c r="E309" t="str">
        <x:v>Insumos</x:v>
      </x:c>
      <x:c r="F309" t="str">
        <x:v>Insumos</x:v>
      </x:c>
      <x:c r="G309" t="str">
        <x:v>Cobre Recop</x:v>
      </x:c>
      <x:c r="H309" t="str">
        <x:v>Cancro</x:v>
      </x:c>
      <x:c r="I309" s="10" t="n">
        <x:v>9.41</x:v>
      </x:c>
      <x:c r="J309" t="str">
        <x:v>KG</x:v>
      </x:c>
      <x:c r="K309" s="8" t="n">
        <x:v>67.5</x:v>
      </x:c>
      <x:c r="L309" s="8" t="n">
        <x:v>635.17</x:v>
      </x:c>
      <x:c r="M309" t="str">
        <x:v>-</x:v>
      </x:c>
      <x:c r="N309" t="str">
        <x:v>Poço 02</x:v>
      </x:c>
      <x:c r="O309" t="str">
        <x:v>Não</x:v>
      </x:c>
      <x:c r="P309" t="str">
        <x:v>Dado fictício para demonstração</x:v>
      </x:c>
    </x:row>
    <x:row r="310">
      <x:c r="A310" s="6" t="n">
        <x:v>45983</x:v>
      </x:c>
      <x:c r="B310" t="n">
        <x:v>2025</x:v>
      </x:c>
      <x:c r="C310" t="str">
        <x:v>Nov</x:v>
      </x:c>
      <x:c r="D310" t="str">
        <x:v>2025</x:v>
      </x:c>
      <x:c r="E310" t="str">
        <x:v>Mão de Obra</x:v>
      </x:c>
      <x:c r="F310" t="str">
        <x:v>Mão de Obra</x:v>
      </x:c>
      <x:c r="G310" t="str">
        <x:v>Aplicação de herbicida</x:v>
      </x:c>
      <x:c r="H310" t="str">
        <x:v>Herbicida</x:v>
      </x:c>
      <x:c r="I310" s="10" t="n">
        <x:v>9.78</x:v>
      </x:c>
      <x:c r="J310" t="str">
        <x:v>Hora</x:v>
      </x:c>
      <x:c r="K310" s="8" t="n">
        <x:v>26</x:v>
      </x:c>
      <x:c r="L310" s="8" t="n">
        <x:v>254.28</x:v>
      </x:c>
      <x:c r="M310" t="str">
        <x:v>Daniel Costa</x:v>
      </x:c>
      <x:c r="N310" t="str">
        <x:v>Poço 04</x:v>
      </x:c>
      <x:c r="O310" t="str">
        <x:v>Não</x:v>
      </x:c>
      <x:c r="P310" t="str">
        <x:v>Dado fictício para demonstração</x:v>
      </x:c>
    </x:row>
    <x:row r="311">
      <x:c r="A311" s="6" t="n">
        <x:v>45984</x:v>
      </x:c>
      <x:c r="B311" t="n">
        <x:v>2025</x:v>
      </x:c>
      <x:c r="C311" t="str">
        <x:v>Nov</x:v>
      </x:c>
      <x:c r="D311" t="str">
        <x:v>Plantio 08/2025</x:v>
      </x:c>
      <x:c r="E311" t="str">
        <x:v>Insumos</x:v>
      </x:c>
      <x:c r="F311" t="str">
        <x:v>Plantio Novo</x:v>
      </x:c>
      <x:c r="G311" t="str">
        <x:v>Vertimec</x:v>
      </x:c>
      <x:c r="H311" t="str">
        <x:v>Defensivos</x:v>
      </x:c>
      <x:c r="I311" s="10" t="n">
        <x:v>2.4</x:v>
      </x:c>
      <x:c r="J311" t="str">
        <x:v>LT</x:v>
      </x:c>
      <x:c r="K311" s="8" t="n">
        <x:v>630</x:v>
      </x:c>
      <x:c r="L311" s="8" t="n">
        <x:v>1512</x:v>
      </x:c>
      <x:c r="M311" t="str">
        <x:v>-</x:v>
      </x:c>
      <x:c r="N311" t="str">
        <x:v>Talhão Novo 08/2025</x:v>
      </x:c>
      <x:c r="O311" t="str">
        <x:v>Sim</x:v>
      </x:c>
      <x:c r="P311" t="str">
        <x:v>Plantio novo fictício</x:v>
      </x:c>
    </x:row>
    <x:row r="312">
      <x:c r="A312" s="6" t="n">
        <x:v>45984</x:v>
      </x:c>
      <x:c r="B312" t="n">
        <x:v>2025</x:v>
      </x:c>
      <x:c r="C312" t="str">
        <x:v>Nov</x:v>
      </x:c>
      <x:c r="D312" t="str">
        <x:v>Plantio 08/2025</x:v>
      </x:c>
      <x:c r="E312" t="str">
        <x:v>Mão de Obra</x:v>
      </x:c>
      <x:c r="F312" t="str">
        <x:v>Plantio Novo</x:v>
      </x:c>
      <x:c r="G312" t="str">
        <x:v>Capina</x:v>
      </x:c>
      <x:c r="H312" t="str">
        <x:v>Capina</x:v>
      </x:c>
      <x:c r="I312" s="10" t="n">
        <x:v>11.69</x:v>
      </x:c>
      <x:c r="J312" t="str">
        <x:v>Hora</x:v>
      </x:c>
      <x:c r="K312" s="8" t="n">
        <x:v>22</x:v>
      </x:c>
      <x:c r="L312" s="8" t="n">
        <x:v>257.18</x:v>
      </x:c>
      <x:c r="M312" t="str">
        <x:v>Lucas Pereira</x:v>
      </x:c>
      <x:c r="N312" t="str">
        <x:v>Talhão Novo 08/2025</x:v>
      </x:c>
      <x:c r="O312" t="str">
        <x:v>Sim</x:v>
      </x:c>
      <x:c r="P312" t="str">
        <x:v>Plantio novo fictício</x:v>
      </x:c>
    </x:row>
    <x:row r="313">
      <x:c r="A313" s="6" t="n">
        <x:v>45985</x:v>
      </x:c>
      <x:c r="B313" t="n">
        <x:v>2025</x:v>
      </x:c>
      <x:c r="C313" t="str">
        <x:v>Nov</x:v>
      </x:c>
      <x:c r="D313" t="str">
        <x:v>2025</x:v>
      </x:c>
      <x:c r="E313" t="str">
        <x:v>Insumos</x:v>
      </x:c>
      <x:c r="F313" t="str">
        <x:v>Insumos</x:v>
      </x:c>
      <x:c r="G313" t="str">
        <x:v>Glifosato</x:v>
      </x:c>
      <x:c r="H313" t="str">
        <x:v>Herbicida</x:v>
      </x:c>
      <x:c r="I313" s="10" t="n">
        <x:v>6.06</x:v>
      </x:c>
      <x:c r="J313" t="str">
        <x:v>LT</x:v>
      </x:c>
      <x:c r="K313" s="8" t="n">
        <x:v>44</x:v>
      </x:c>
      <x:c r="L313" s="8" t="n">
        <x:v>266.64</x:v>
      </x:c>
      <x:c r="M313" t="str">
        <x:v>-</x:v>
      </x:c>
      <x:c r="N313" t="str">
        <x:v>Poço 01</x:v>
      </x:c>
      <x:c r="O313" t="str">
        <x:v>Não</x:v>
      </x:c>
      <x:c r="P313" t="str">
        <x:v>Dado fictício para demonstração</x:v>
      </x:c>
    </x:row>
    <x:row r="314">
      <x:c r="A314" s="6" t="n">
        <x:v>45985</x:v>
      </x:c>
      <x:c r="B314" t="n">
        <x:v>2025</x:v>
      </x:c>
      <x:c r="C314" t="str">
        <x:v>Nov</x:v>
      </x:c>
      <x:c r="D314" t="str">
        <x:v>Plantio 08/2025</x:v>
      </x:c>
      <x:c r="E314" t="str">
        <x:v>Mão de Obra</x:v>
      </x:c>
      <x:c r="F314" t="str">
        <x:v>Plantio Novo</x:v>
      </x:c>
      <x:c r="G314" t="str">
        <x:v>Roçada</x:v>
      </x:c>
      <x:c r="H314" t="str">
        <x:v>Roçada</x:v>
      </x:c>
      <x:c r="I314" s="10" t="n">
        <x:v>5.79</x:v>
      </x:c>
      <x:c r="J314" t="str">
        <x:v>Hora</x:v>
      </x:c>
      <x:c r="K314" s="8" t="n">
        <x:v>22</x:v>
      </x:c>
      <x:c r="L314" s="8" t="n">
        <x:v>127.38</x:v>
      </x:c>
      <x:c r="M314" t="str">
        <x:v>Lucas Pereira</x:v>
      </x:c>
      <x:c r="N314" t="str">
        <x:v>Talhão Novo 08/2025</x:v>
      </x:c>
      <x:c r="O314" t="str">
        <x:v>Sim</x:v>
      </x:c>
      <x:c r="P314" t="str">
        <x:v>Plantio novo fictício</x:v>
      </x:c>
    </x:row>
    <x:row r="315">
      <x:c r="A315" s="6" t="n">
        <x:v>45986</x:v>
      </x:c>
      <x:c r="B315" t="n">
        <x:v>2025</x:v>
      </x:c>
      <x:c r="C315" t="str">
        <x:v>Nov</x:v>
      </x:c>
      <x:c r="D315" t="str">
        <x:v>2025</x:v>
      </x:c>
      <x:c r="E315" t="str">
        <x:v>Custos Gerais</x:v>
      </x:c>
      <x:c r="F315" t="str">
        <x:v>Custos Gerais</x:v>
      </x:c>
      <x:c r="G315" t="str">
        <x:v>Manutenção de bomba</x:v>
      </x:c>
      <x:c r="H315" t="str">
        <x:v>Manutenção</x:v>
      </x:c>
      <x:c r="I315" s="10" t="n">
        <x:v>1.91</x:v>
      </x:c>
      <x:c r="J315" t="str">
        <x:v>UN</x:v>
      </x:c>
      <x:c r="K315" s="8" t="n">
        <x:v>450</x:v>
      </x:c>
      <x:c r="L315" s="8" t="n">
        <x:v>859.5</x:v>
      </x:c>
      <x:c r="M315" t="str">
        <x:v>-</x:v>
      </x:c>
      <x:c r="N315" t="str">
        <x:v>Poço 04</x:v>
      </x:c>
      <x:c r="O315" t="str">
        <x:v>Não</x:v>
      </x:c>
      <x:c r="P315" t="str">
        <x:v>Dado fictício para demonstração</x:v>
      </x:c>
    </x:row>
    <x:row r="316">
      <x:c r="A316" s="6" t="n">
        <x:v>45989</x:v>
      </x:c>
      <x:c r="B316" t="n">
        <x:v>2025</x:v>
      </x:c>
      <x:c r="C316" t="str">
        <x:v>Nov</x:v>
      </x:c>
      <x:c r="D316" t="str">
        <x:v>2025</x:v>
      </x:c>
      <x:c r="E316" t="str">
        <x:v>Produção</x:v>
      </x:c>
      <x:c r="F316" t="str">
        <x:v>Produção</x:v>
      </x:c>
      <x:c r="G316" t="str">
        <x:v>Caixas de Limão</x:v>
      </x:c>
      <x:c r="H316" t="str">
        <x:v>Produção mensal</x:v>
      </x:c>
      <x:c r="I316" s="10" t="n">
        <x:v>506</x:v>
      </x:c>
      <x:c r="J316" t="str">
        <x:v>CX</x:v>
      </x:c>
      <x:c r="K316" s="8" t="n">
        <x:v>0</x:v>
      </x:c>
      <x:c r="L316" s="8" t="n">
        <x:v>0</x:v>
      </x:c>
      <x:c r="M316" t="str">
        <x:v>-</x:v>
      </x:c>
      <x:c r="N316" t="str">
        <x:v>Geral</x:v>
      </x:c>
      <x:c r="O316" t="str">
        <x:v>Não</x:v>
      </x:c>
      <x:c r="P316" t="str">
        <x:v>Produção fictícia: 506 caixas</x:v>
      </x:c>
    </x:row>
    <x:row r="317">
      <x:c r="A317" s="6" t="n">
        <x:v>45993</x:v>
      </x:c>
      <x:c r="B317" t="n">
        <x:v>2025</x:v>
      </x:c>
      <x:c r="C317" t="str">
        <x:v>Dez</x:v>
      </x:c>
      <x:c r="D317" t="str">
        <x:v>2025</x:v>
      </x:c>
      <x:c r="E317" t="str">
        <x:v>Mão de Obra</x:v>
      </x:c>
      <x:c r="F317" t="str">
        <x:v>Mão de Obra</x:v>
      </x:c>
      <x:c r="G317" t="str">
        <x:v>Irrigação</x:v>
      </x:c>
      <x:c r="H317" t="str">
        <x:v>Irrigação</x:v>
      </x:c>
      <x:c r="I317" s="10" t="n">
        <x:v>9.2</x:v>
      </x:c>
      <x:c r="J317" t="str">
        <x:v>Hora</x:v>
      </x:c>
      <x:c r="K317" s="8" t="n">
        <x:v>23</x:v>
      </x:c>
      <x:c r="L317" s="8" t="n">
        <x:v>211.6</x:v>
      </x:c>
      <x:c r="M317" t="str">
        <x:v>Antônio Carlos</x:v>
      </x:c>
      <x:c r="N317" t="str">
        <x:v>Poço 02</x:v>
      </x:c>
      <x:c r="O317" t="str">
        <x:v>Não</x:v>
      </x:c>
      <x:c r="P317" t="str">
        <x:v>Dado fictício para demonstração</x:v>
      </x:c>
    </x:row>
    <x:row r="318">
      <x:c r="A318" s="6" t="n">
        <x:v>45994</x:v>
      </x:c>
      <x:c r="B318" t="n">
        <x:v>2025</x:v>
      </x:c>
      <x:c r="C318" t="str">
        <x:v>Dez</x:v>
      </x:c>
      <x:c r="D318" t="str">
        <x:v>2025</x:v>
      </x:c>
      <x:c r="E318" t="str">
        <x:v>Insumos</x:v>
      </x:c>
      <x:c r="F318" t="str">
        <x:v>Insumos</x:v>
      </x:c>
      <x:c r="G318" t="str">
        <x:v>Esterco de Gado</x:v>
      </x:c>
      <x:c r="H318" t="str">
        <x:v>Adubação</x:v>
      </x:c>
      <x:c r="I318" s="10" t="n">
        <x:v>5.68</x:v>
      </x:c>
      <x:c r="J318" t="str">
        <x:v>TON</x:v>
      </x:c>
      <x:c r="K318" s="8" t="n">
        <x:v>490</x:v>
      </x:c>
      <x:c r="L318" s="8" t="n">
        <x:v>2783.2</x:v>
      </x:c>
      <x:c r="M318" t="str">
        <x:v>-</x:v>
      </x:c>
      <x:c r="N318" t="str">
        <x:v>Poço 03</x:v>
      </x:c>
      <x:c r="O318" t="str">
        <x:v>Não</x:v>
      </x:c>
      <x:c r="P318" t="str">
        <x:v>Dado fictício para demonstração</x:v>
      </x:c>
    </x:row>
    <x:row r="319">
      <x:c r="A319" s="6" t="n">
        <x:v>45994</x:v>
      </x:c>
      <x:c r="B319" t="n">
        <x:v>2025</x:v>
      </x:c>
      <x:c r="C319" t="str">
        <x:v>Dez</x:v>
      </x:c>
      <x:c r="D319" t="str">
        <x:v>2025</x:v>
      </x:c>
      <x:c r="E319" t="str">
        <x:v>Custos Gerais</x:v>
      </x:c>
      <x:c r="F319" t="str">
        <x:v>Custos Gerais</x:v>
      </x:c>
      <x:c r="G319" t="str">
        <x:v>Peças e reparos</x:v>
      </x:c>
      <x:c r="H319" t="str">
        <x:v>Manutenção</x:v>
      </x:c>
      <x:c r="I319" s="10" t="n">
        <x:v>1.12</x:v>
      </x:c>
      <x:c r="J319" t="str">
        <x:v>UN</x:v>
      </x:c>
      <x:c r="K319" s="8" t="n">
        <x:v>280</x:v>
      </x:c>
      <x:c r="L319" s="8" t="n">
        <x:v>313.6</x:v>
      </x:c>
      <x:c r="M319" t="str">
        <x:v>-</x:v>
      </x:c>
      <x:c r="N319" t="str">
        <x:v>Poço 01</x:v>
      </x:c>
      <x:c r="O319" t="str">
        <x:v>Não</x:v>
      </x:c>
      <x:c r="P319" t="str">
        <x:v>Dado fictício para demonstração</x:v>
      </x:c>
    </x:row>
    <x:row r="320">
      <x:c r="A320" s="6" t="n">
        <x:v>45994</x:v>
      </x:c>
      <x:c r="B320" t="n">
        <x:v>2025</x:v>
      </x:c>
      <x:c r="C320" t="str">
        <x:v>Dez</x:v>
      </x:c>
      <x:c r="D320" t="str">
        <x:v>2025</x:v>
      </x:c>
      <x:c r="E320" t="str">
        <x:v>Custos Gerais</x:v>
      </x:c>
      <x:c r="F320" t="str">
        <x:v>Custos Gerais</x:v>
      </x:c>
      <x:c r="G320" t="str">
        <x:v>Manutenção de bomba</x:v>
      </x:c>
      <x:c r="H320" t="str">
        <x:v>Manutenção</x:v>
      </x:c>
      <x:c r="I320" s="10" t="n">
        <x:v>1.1</x:v>
      </x:c>
      <x:c r="J320" t="str">
        <x:v>UN</x:v>
      </x:c>
      <x:c r="K320" s="8" t="n">
        <x:v>450</x:v>
      </x:c>
      <x:c r="L320" s="8" t="n">
        <x:v>495</x:v>
      </x:c>
      <x:c r="M320" t="str">
        <x:v>-</x:v>
      </x:c>
      <x:c r="N320" t="str">
        <x:v>Poço 04</x:v>
      </x:c>
      <x:c r="O320" t="str">
        <x:v>Não</x:v>
      </x:c>
      <x:c r="P320" t="str">
        <x:v>Dado fictício para demonstração</x:v>
      </x:c>
    </x:row>
    <x:row r="321">
      <x:c r="A321" s="6" t="n">
        <x:v>45994</x:v>
      </x:c>
      <x:c r="B321" t="n">
        <x:v>2025</x:v>
      </x:c>
      <x:c r="C321" t="str">
        <x:v>Dez</x:v>
      </x:c>
      <x:c r="D321" t="str">
        <x:v>2025</x:v>
      </x:c>
      <x:c r="E321" t="str">
        <x:v>Custos Gerais</x:v>
      </x:c>
      <x:c r="F321" t="str">
        <x:v>Custos Gerais</x:v>
      </x:c>
      <x:c r="G321" t="str">
        <x:v>Combustível</x:v>
      </x:c>
      <x:c r="H321" t="str">
        <x:v>Máquinas</x:v>
      </x:c>
      <x:c r="I321" s="10" t="n">
        <x:v>97.49</x:v>
      </x:c>
      <x:c r="J321" t="str">
        <x:v>LT</x:v>
      </x:c>
      <x:c r="K321" s="8" t="n">
        <x:v>6.2</x:v>
      </x:c>
      <x:c r="L321" s="8" t="n">
        <x:v>604.44</x:v>
      </x:c>
      <x:c r="M321" t="str">
        <x:v>-</x:v>
      </x:c>
      <x:c r="N321" t="str">
        <x:v>Poço 01</x:v>
      </x:c>
      <x:c r="O321" t="str">
        <x:v>Não</x:v>
      </x:c>
      <x:c r="P321" t="str">
        <x:v>Dado fictício para demonstração</x:v>
      </x:c>
    </x:row>
    <x:row r="322">
      <x:c r="A322" s="6" t="n">
        <x:v>45994</x:v>
      </x:c>
      <x:c r="B322" t="n">
        <x:v>2025</x:v>
      </x:c>
      <x:c r="C322" t="str">
        <x:v>Dez</x:v>
      </x:c>
      <x:c r="D322" t="str">
        <x:v>Plantio 08/2025</x:v>
      </x:c>
      <x:c r="E322" t="str">
        <x:v>Mão de Obra</x:v>
      </x:c>
      <x:c r="F322" t="str">
        <x:v>Plantio Novo</x:v>
      </x:c>
      <x:c r="G322" t="str">
        <x:v>Roçada</x:v>
      </x:c>
      <x:c r="H322" t="str">
        <x:v>Roçada</x:v>
      </x:c>
      <x:c r="I322" s="10" t="n">
        <x:v>11.23</x:v>
      </x:c>
      <x:c r="J322" t="str">
        <x:v>Hora</x:v>
      </x:c>
      <x:c r="K322" s="8" t="n">
        <x:v>22</x:v>
      </x:c>
      <x:c r="L322" s="8" t="n">
        <x:v>247.06</x:v>
      </x:c>
      <x:c r="M322" t="str">
        <x:v>Marcos Paulo</x:v>
      </x:c>
      <x:c r="N322" t="str">
        <x:v>Talhão Novo 08/2025</x:v>
      </x:c>
      <x:c r="O322" t="str">
        <x:v>Sim</x:v>
      </x:c>
      <x:c r="P322" t="str">
        <x:v>Plantio novo fictício</x:v>
      </x:c>
    </x:row>
    <x:row r="323">
      <x:c r="A323" s="6" t="n">
        <x:v>45996</x:v>
      </x:c>
      <x:c r="B323" t="n">
        <x:v>2025</x:v>
      </x:c>
      <x:c r="C323" t="str">
        <x:v>Dez</x:v>
      </x:c>
      <x:c r="D323" t="str">
        <x:v>Plantio 08/2025</x:v>
      </x:c>
      <x:c r="E323" t="str">
        <x:v>Insumos</x:v>
      </x:c>
      <x:c r="F323" t="str">
        <x:v>Plantio Novo</x:v>
      </x:c>
      <x:c r="G323" t="str">
        <x:v>Ureia</x:v>
      </x:c>
      <x:c r="H323" t="str">
        <x:v>Adubação</x:v>
      </x:c>
      <x:c r="I323" s="10" t="n">
        <x:v>69.24</x:v>
      </x:c>
      <x:c r="J323" t="str">
        <x:v>KG</x:v>
      </x:c>
      <x:c r="K323" s="8" t="n">
        <x:v>16.8</x:v>
      </x:c>
      <x:c r="L323" s="8" t="n">
        <x:v>1163.23</x:v>
      </x:c>
      <x:c r="M323" t="str">
        <x:v>-</x:v>
      </x:c>
      <x:c r="N323" t="str">
        <x:v>Talhão Novo 08/2025</x:v>
      </x:c>
      <x:c r="O323" t="str">
        <x:v>Sim</x:v>
      </x:c>
      <x:c r="P323" t="str">
        <x:v>Plantio novo fictício</x:v>
      </x:c>
    </x:row>
    <x:row r="324">
      <x:c r="A324" s="6" t="n">
        <x:v>45996</x:v>
      </x:c>
      <x:c r="B324" t="n">
        <x:v>2025</x:v>
      </x:c>
      <x:c r="C324" t="str">
        <x:v>Dez</x:v>
      </x:c>
      <x:c r="D324" t="str">
        <x:v>Plantio 08/2025</x:v>
      </x:c>
      <x:c r="E324" t="str">
        <x:v>Insumos</x:v>
      </x:c>
      <x:c r="F324" t="str">
        <x:v>Plantio Novo</x:v>
      </x:c>
      <x:c r="G324" t="str">
        <x:v>Nitrato de Amônia</x:v>
      </x:c>
      <x:c r="H324" t="str">
        <x:v>Nutrição</x:v>
      </x:c>
      <x:c r="I324" s="10" t="n">
        <x:v>31.82</x:v>
      </x:c>
      <x:c r="J324" t="str">
        <x:v>KG</x:v>
      </x:c>
      <x:c r="K324" s="8" t="n">
        <x:v>18.5</x:v>
      </x:c>
      <x:c r="L324" s="8" t="n">
        <x:v>588.67</x:v>
      </x:c>
      <x:c r="M324" t="str">
        <x:v>-</x:v>
      </x:c>
      <x:c r="N324" t="str">
        <x:v>Talhão Novo 08/2025</x:v>
      </x:c>
      <x:c r="O324" t="str">
        <x:v>Sim</x:v>
      </x:c>
      <x:c r="P324" t="str">
        <x:v>Plantio novo fictício</x:v>
      </x:c>
    </x:row>
    <x:row r="325">
      <x:c r="A325" s="6" t="n">
        <x:v>45998</x:v>
      </x:c>
      <x:c r="B325" t="n">
        <x:v>2025</x:v>
      </x:c>
      <x:c r="C325" t="str">
        <x:v>Dez</x:v>
      </x:c>
      <x:c r="D325" t="str">
        <x:v>Plantio 08/2025</x:v>
      </x:c>
      <x:c r="E325" t="str">
        <x:v>Insumos</x:v>
      </x:c>
      <x:c r="F325" t="str">
        <x:v>Plantio Novo</x:v>
      </x:c>
      <x:c r="G325" t="str">
        <x:v>Ureia</x:v>
      </x:c>
      <x:c r="H325" t="str">
        <x:v>Adubação</x:v>
      </x:c>
      <x:c r="I325" s="10" t="n">
        <x:v>67.42</x:v>
      </x:c>
      <x:c r="J325" t="str">
        <x:v>KG</x:v>
      </x:c>
      <x:c r="K325" s="8" t="n">
        <x:v>16.8</x:v>
      </x:c>
      <x:c r="L325" s="8" t="n">
        <x:v>1132.66</x:v>
      </x:c>
      <x:c r="M325" t="str">
        <x:v>-</x:v>
      </x:c>
      <x:c r="N325" t="str">
        <x:v>Talhão Novo 08/2025</x:v>
      </x:c>
      <x:c r="O325" t="str">
        <x:v>Sim</x:v>
      </x:c>
      <x:c r="P325" t="str">
        <x:v>Plantio novo fictício</x:v>
      </x:c>
    </x:row>
    <x:row r="326">
      <x:c r="A326" s="6" t="n">
        <x:v>45999</x:v>
      </x:c>
      <x:c r="B326" t="n">
        <x:v>2025</x:v>
      </x:c>
      <x:c r="C326" t="str">
        <x:v>Dez</x:v>
      </x:c>
      <x:c r="D326" t="str">
        <x:v>2025</x:v>
      </x:c>
      <x:c r="E326" t="str">
        <x:v>Insumos</x:v>
      </x:c>
      <x:c r="F326" t="str">
        <x:v>Insumos</x:v>
      </x:c>
      <x:c r="G326" t="str">
        <x:v>Sulfato de Magnésio</x:v>
      </x:c>
      <x:c r="H326" t="str">
        <x:v>Nutrição</x:v>
      </x:c>
      <x:c r="I326" s="10" t="n">
        <x:v>38.82</x:v>
      </x:c>
      <x:c r="J326" t="str">
        <x:v>KG</x:v>
      </x:c>
      <x:c r="K326" s="8" t="n">
        <x:v>13.5</x:v>
      </x:c>
      <x:c r="L326" s="8" t="n">
        <x:v>524.07</x:v>
      </x:c>
      <x:c r="M326" t="str">
        <x:v>-</x:v>
      </x:c>
      <x:c r="N326" t="str">
        <x:v>Poço 04</x:v>
      </x:c>
      <x:c r="O326" t="str">
        <x:v>Não</x:v>
      </x:c>
      <x:c r="P326" t="str">
        <x:v>Dado fictício para demonstração</x:v>
      </x:c>
    </x:row>
    <x:row r="327">
      <x:c r="A327" s="6" t="n">
        <x:v>45999</x:v>
      </x:c>
      <x:c r="B327" t="n">
        <x:v>2025</x:v>
      </x:c>
      <x:c r="C327" t="str">
        <x:v>Dez</x:v>
      </x:c>
      <x:c r="D327" t="str">
        <x:v>2025</x:v>
      </x:c>
      <x:c r="E327" t="str">
        <x:v>Mão de Obra</x:v>
      </x:c>
      <x:c r="F327" t="str">
        <x:v>Mão de Obra</x:v>
      </x:c>
      <x:c r="G327" t="str">
        <x:v>Colheita</x:v>
      </x:c>
      <x:c r="H327" t="str">
        <x:v>Colheita</x:v>
      </x:c>
      <x:c r="I327" s="10" t="n">
        <x:v>16.33</x:v>
      </x:c>
      <x:c r="J327" t="str">
        <x:v>Hora</x:v>
      </x:c>
      <x:c r="K327" s="8" t="n">
        <x:v>28</x:v>
      </x:c>
      <x:c r="L327" s="8" t="n">
        <x:v>457.24</x:v>
      </x:c>
      <x:c r="M327" t="str">
        <x:v>João Santos</x:v>
      </x:c>
      <x:c r="N327" t="str">
        <x:v>Poço 02</x:v>
      </x:c>
      <x:c r="O327" t="str">
        <x:v>Não</x:v>
      </x:c>
      <x:c r="P327" t="str">
        <x:v>Dado fictício para demonstração</x:v>
      </x:c>
    </x:row>
    <x:row r="328">
      <x:c r="A328" s="6" t="n">
        <x:v>46002</x:v>
      </x:c>
      <x:c r="B328" t="n">
        <x:v>2025</x:v>
      </x:c>
      <x:c r="C328" t="str">
        <x:v>Dez</x:v>
      </x:c>
      <x:c r="D328" t="str">
        <x:v>2025</x:v>
      </x:c>
      <x:c r="E328" t="str">
        <x:v>Mão de Obra</x:v>
      </x:c>
      <x:c r="F328" t="str">
        <x:v>Mão de Obra</x:v>
      </x:c>
      <x:c r="G328" t="str">
        <x:v>Desbrota</x:v>
      </x:c>
      <x:c r="H328" t="str">
        <x:v>Desbrota</x:v>
      </x:c>
      <x:c r="I328" s="10" t="n">
        <x:v>8.72</x:v>
      </x:c>
      <x:c r="J328" t="str">
        <x:v>Hora</x:v>
      </x:c>
      <x:c r="K328" s="8" t="n">
        <x:v>24</x:v>
      </x:c>
      <x:c r="L328" s="8" t="n">
        <x:v>209.28</x:v>
      </x:c>
      <x:c r="M328" t="str">
        <x:v>José da Silva</x:v>
      </x:c>
      <x:c r="N328" t="str">
        <x:v>Poço 04</x:v>
      </x:c>
      <x:c r="O328" t="str">
        <x:v>Não</x:v>
      </x:c>
      <x:c r="P328" t="str">
        <x:v>Dado fictício para demonstração</x:v>
      </x:c>
    </x:row>
    <x:row r="329">
      <x:c r="A329" s="6" t="n">
        <x:v>46005</x:v>
      </x:c>
      <x:c r="B329" t="n">
        <x:v>2025</x:v>
      </x:c>
      <x:c r="C329" t="str">
        <x:v>Dez</x:v>
      </x:c>
      <x:c r="D329" t="str">
        <x:v>2025</x:v>
      </x:c>
      <x:c r="E329" t="str">
        <x:v>Mão de Obra</x:v>
      </x:c>
      <x:c r="F329" t="str">
        <x:v>Mão de Obra</x:v>
      </x:c>
      <x:c r="G329" t="str">
        <x:v>Roçada</x:v>
      </x:c>
      <x:c r="H329" t="str">
        <x:v>Roçada</x:v>
      </x:c>
      <x:c r="I329" s="10" t="n">
        <x:v>15.76</x:v>
      </x:c>
      <x:c r="J329" t="str">
        <x:v>Hora</x:v>
      </x:c>
      <x:c r="K329" s="8" t="n">
        <x:v>22</x:v>
      </x:c>
      <x:c r="L329" s="8" t="n">
        <x:v>346.72</x:v>
      </x:c>
      <x:c r="M329" t="str">
        <x:v>Daniel Costa</x:v>
      </x:c>
      <x:c r="N329" t="str">
        <x:v>Poço 02</x:v>
      </x:c>
      <x:c r="O329" t="str">
        <x:v>Não</x:v>
      </x:c>
      <x:c r="P329" t="str">
        <x:v>Dado fictício para demonstração</x:v>
      </x:c>
    </x:row>
    <x:row r="330">
      <x:c r="A330" s="6" t="n">
        <x:v>46006</x:v>
      </x:c>
      <x:c r="B330" t="n">
        <x:v>2025</x:v>
      </x:c>
      <x:c r="C330" t="str">
        <x:v>Dez</x:v>
      </x:c>
      <x:c r="D330" t="str">
        <x:v>2025</x:v>
      </x:c>
      <x:c r="E330" t="str">
        <x:v>Mão de Obra</x:v>
      </x:c>
      <x:c r="F330" t="str">
        <x:v>Mão de Obra</x:v>
      </x:c>
      <x:c r="G330" t="str">
        <x:v>Irrigação</x:v>
      </x:c>
      <x:c r="H330" t="str">
        <x:v>Irrigação</x:v>
      </x:c>
      <x:c r="I330" s="10" t="n">
        <x:v>11.2</x:v>
      </x:c>
      <x:c r="J330" t="str">
        <x:v>Hora</x:v>
      </x:c>
      <x:c r="K330" s="8" t="n">
        <x:v>23</x:v>
      </x:c>
      <x:c r="L330" s="8" t="n">
        <x:v>257.6</x:v>
      </x:c>
      <x:c r="M330" t="str">
        <x:v>José da Silva</x:v>
      </x:c>
      <x:c r="N330" t="str">
        <x:v>Poço 04</x:v>
      </x:c>
      <x:c r="O330" t="str">
        <x:v>Não</x:v>
      </x:c>
      <x:c r="P330" t="str">
        <x:v>Dado fictício para demonstração</x:v>
      </x:c>
    </x:row>
    <x:row r="331">
      <x:c r="A331" s="6" t="n">
        <x:v>46006</x:v>
      </x:c>
      <x:c r="B331" t="n">
        <x:v>2025</x:v>
      </x:c>
      <x:c r="C331" t="str">
        <x:v>Dez</x:v>
      </x:c>
      <x:c r="D331" t="str">
        <x:v>Plantio 08/2025</x:v>
      </x:c>
      <x:c r="E331" t="str">
        <x:v>Insumos</x:v>
      </x:c>
      <x:c r="F331" t="str">
        <x:v>Plantio Novo</x:v>
      </x:c>
      <x:c r="G331" t="str">
        <x:v>Ureia</x:v>
      </x:c>
      <x:c r="H331" t="str">
        <x:v>Adubação</x:v>
      </x:c>
      <x:c r="I331" s="10" t="n">
        <x:v>62.71</x:v>
      </x:c>
      <x:c r="J331" t="str">
        <x:v>KG</x:v>
      </x:c>
      <x:c r="K331" s="8" t="n">
        <x:v>16.8</x:v>
      </x:c>
      <x:c r="L331" s="8" t="n">
        <x:v>1053.53</x:v>
      </x:c>
      <x:c r="M331" t="str">
        <x:v>-</x:v>
      </x:c>
      <x:c r="N331" t="str">
        <x:v>Talhão Novo 08/2025</x:v>
      </x:c>
      <x:c r="O331" t="str">
        <x:v>Sim</x:v>
      </x:c>
      <x:c r="P331" t="str">
        <x:v>Plantio novo fictício</x:v>
      </x:c>
    </x:row>
    <x:row r="332">
      <x:c r="A332" s="6" t="n">
        <x:v>46006</x:v>
      </x:c>
      <x:c r="B332" t="n">
        <x:v>2025</x:v>
      </x:c>
      <x:c r="C332" t="str">
        <x:v>Dez</x:v>
      </x:c>
      <x:c r="D332" t="str">
        <x:v>Plantio 08/2025</x:v>
      </x:c>
      <x:c r="E332" t="str">
        <x:v>Insumos</x:v>
      </x:c>
      <x:c r="F332" t="str">
        <x:v>Plantio Novo</x:v>
      </x:c>
      <x:c r="G332" t="str">
        <x:v>Glifosato</x:v>
      </x:c>
      <x:c r="H332" t="str">
        <x:v>Herbicida</x:v>
      </x:c>
      <x:c r="I332" s="10" t="n">
        <x:v>7.44</x:v>
      </x:c>
      <x:c r="J332" t="str">
        <x:v>LT</x:v>
      </x:c>
      <x:c r="K332" s="8" t="n">
        <x:v>44</x:v>
      </x:c>
      <x:c r="L332" s="8" t="n">
        <x:v>327.36</x:v>
      </x:c>
      <x:c r="M332" t="str">
        <x:v>-</x:v>
      </x:c>
      <x:c r="N332" t="str">
        <x:v>Talhão Novo 08/2025</x:v>
      </x:c>
      <x:c r="O332" t="str">
        <x:v>Sim</x:v>
      </x:c>
      <x:c r="P332" t="str">
        <x:v>Plantio novo fictício</x:v>
      </x:c>
    </x:row>
    <x:row r="333">
      <x:c r="A333" s="6" t="n">
        <x:v>46007</x:v>
      </x:c>
      <x:c r="B333" t="n">
        <x:v>2025</x:v>
      </x:c>
      <x:c r="C333" t="str">
        <x:v>Dez</x:v>
      </x:c>
      <x:c r="D333" t="str">
        <x:v>2025</x:v>
      </x:c>
      <x:c r="E333" t="str">
        <x:v>Insumos</x:v>
      </x:c>
      <x:c r="F333" t="str">
        <x:v>Insumos</x:v>
      </x:c>
      <x:c r="G333" t="str">
        <x:v>Sulfato de Magnésio</x:v>
      </x:c>
      <x:c r="H333" t="str">
        <x:v>Nutrição</x:v>
      </x:c>
      <x:c r="I333" s="10" t="n">
        <x:v>54.27</x:v>
      </x:c>
      <x:c r="J333" t="str">
        <x:v>KG</x:v>
      </x:c>
      <x:c r="K333" s="8" t="n">
        <x:v>13.5</x:v>
      </x:c>
      <x:c r="L333" s="8" t="n">
        <x:v>732.65</x:v>
      </x:c>
      <x:c r="M333" t="str">
        <x:v>-</x:v>
      </x:c>
      <x:c r="N333" t="str">
        <x:v>Poço 04</x:v>
      </x:c>
      <x:c r="O333" t="str">
        <x:v>Não</x:v>
      </x:c>
      <x:c r="P333" t="str">
        <x:v>Dado fictício para demonstração</x:v>
      </x:c>
    </x:row>
    <x:row r="334">
      <x:c r="A334" s="6" t="n">
        <x:v>46007</x:v>
      </x:c>
      <x:c r="B334" t="n">
        <x:v>2025</x:v>
      </x:c>
      <x:c r="C334" t="str">
        <x:v>Dez</x:v>
      </x:c>
      <x:c r="D334" t="str">
        <x:v>Plantio 08/2025</x:v>
      </x:c>
      <x:c r="E334" t="str">
        <x:v>Insumos</x:v>
      </x:c>
      <x:c r="F334" t="str">
        <x:v>Plantio Novo</x:v>
      </x:c>
      <x:c r="G334" t="str">
        <x:v>Esterco de Gado</x:v>
      </x:c>
      <x:c r="H334" t="str">
        <x:v>Adubação</x:v>
      </x:c>
      <x:c r="I334" s="10" t="n">
        <x:v>5.41</x:v>
      </x:c>
      <x:c r="J334" t="str">
        <x:v>TON</x:v>
      </x:c>
      <x:c r="K334" s="8" t="n">
        <x:v>490</x:v>
      </x:c>
      <x:c r="L334" s="8" t="n">
        <x:v>2650.9</x:v>
      </x:c>
      <x:c r="M334" t="str">
        <x:v>-</x:v>
      </x:c>
      <x:c r="N334" t="str">
        <x:v>Talhão Novo 08/2025</x:v>
      </x:c>
      <x:c r="O334" t="str">
        <x:v>Sim</x:v>
      </x:c>
      <x:c r="P334" t="str">
        <x:v>Plantio novo fictício</x:v>
      </x:c>
    </x:row>
    <x:row r="335">
      <x:c r="A335" s="6" t="n">
        <x:v>46007</x:v>
      </x:c>
      <x:c r="B335" t="n">
        <x:v>2025</x:v>
      </x:c>
      <x:c r="C335" t="str">
        <x:v>Dez</x:v>
      </x:c>
      <x:c r="D335" t="str">
        <x:v>Plantio 08/2025</x:v>
      </x:c>
      <x:c r="E335" t="str">
        <x:v>Insumos</x:v>
      </x:c>
      <x:c r="F335" t="str">
        <x:v>Plantio Novo</x:v>
      </x:c>
      <x:c r="G335" t="str">
        <x:v>Glifosato</x:v>
      </x:c>
      <x:c r="H335" t="str">
        <x:v>Herbicida</x:v>
      </x:c>
      <x:c r="I335" s="10" t="n">
        <x:v>11.44</x:v>
      </x:c>
      <x:c r="J335" t="str">
        <x:v>LT</x:v>
      </x:c>
      <x:c r="K335" s="8" t="n">
        <x:v>44</x:v>
      </x:c>
      <x:c r="L335" s="8" t="n">
        <x:v>503.36</x:v>
      </x:c>
      <x:c r="M335" t="str">
        <x:v>-</x:v>
      </x:c>
      <x:c r="N335" t="str">
        <x:v>Talhão Novo 08/2025</x:v>
      </x:c>
      <x:c r="O335" t="str">
        <x:v>Sim</x:v>
      </x:c>
      <x:c r="P335" t="str">
        <x:v>Plantio novo fictício</x:v>
      </x:c>
    </x:row>
    <x:row r="336">
      <x:c r="A336" s="6" t="n">
        <x:v>46008</x:v>
      </x:c>
      <x:c r="B336" t="n">
        <x:v>2025</x:v>
      </x:c>
      <x:c r="C336" t="str">
        <x:v>Dez</x:v>
      </x:c>
      <x:c r="D336" t="str">
        <x:v>2025</x:v>
      </x:c>
      <x:c r="E336" t="str">
        <x:v>Mão de Obra</x:v>
      </x:c>
      <x:c r="F336" t="str">
        <x:v>Mão de Obra</x:v>
      </x:c>
      <x:c r="G336" t="str">
        <x:v>Capina</x:v>
      </x:c>
      <x:c r="H336" t="str">
        <x:v>Capina</x:v>
      </x:c>
      <x:c r="I336" s="10" t="n">
        <x:v>6.9</x:v>
      </x:c>
      <x:c r="J336" t="str">
        <x:v>Hora</x:v>
      </x:c>
      <x:c r="K336" s="8" t="n">
        <x:v>22</x:v>
      </x:c>
      <x:c r="L336" s="8" t="n">
        <x:v>151.8</x:v>
      </x:c>
      <x:c r="M336" t="str">
        <x:v>Rogério Lima</x:v>
      </x:c>
      <x:c r="N336" t="str">
        <x:v>Poço 01</x:v>
      </x:c>
      <x:c r="O336" t="str">
        <x:v>Não</x:v>
      </x:c>
      <x:c r="P336" t="str">
        <x:v>Dado fictício para demonstração</x:v>
      </x:c>
    </x:row>
    <x:row r="337">
      <x:c r="A337" s="6" t="n">
        <x:v>46008</x:v>
      </x:c>
      <x:c r="B337" t="n">
        <x:v>2025</x:v>
      </x:c>
      <x:c r="C337" t="str">
        <x:v>Dez</x:v>
      </x:c>
      <x:c r="D337" t="str">
        <x:v>Plantio 08/2025</x:v>
      </x:c>
      <x:c r="E337" t="str">
        <x:v>Mão de Obra</x:v>
      </x:c>
      <x:c r="F337" t="str">
        <x:v>Plantio Novo</x:v>
      </x:c>
      <x:c r="G337" t="str">
        <x:v>Colheita</x:v>
      </x:c>
      <x:c r="H337" t="str">
        <x:v>Colheita</x:v>
      </x:c>
      <x:c r="I337" s="10" t="n">
        <x:v>19.58</x:v>
      </x:c>
      <x:c r="J337" t="str">
        <x:v>Hora</x:v>
      </x:c>
      <x:c r="K337" s="8" t="n">
        <x:v>28</x:v>
      </x:c>
      <x:c r="L337" s="8" t="n">
        <x:v>548.24</x:v>
      </x:c>
      <x:c r="M337" t="str">
        <x:v>Marcos Paulo</x:v>
      </x:c>
      <x:c r="N337" t="str">
        <x:v>Talhão Novo 08/2025</x:v>
      </x:c>
      <x:c r="O337" t="str">
        <x:v>Sim</x:v>
      </x:c>
      <x:c r="P337" t="str">
        <x:v>Plantio novo fictício</x:v>
      </x:c>
    </x:row>
    <x:row r="338">
      <x:c r="A338" s="6" t="n">
        <x:v>46009</x:v>
      </x:c>
      <x:c r="B338" t="n">
        <x:v>2025</x:v>
      </x:c>
      <x:c r="C338" t="str">
        <x:v>Dez</x:v>
      </x:c>
      <x:c r="D338" t="str">
        <x:v>2025</x:v>
      </x:c>
      <x:c r="E338" t="str">
        <x:v>Mão de Obra</x:v>
      </x:c>
      <x:c r="F338" t="str">
        <x:v>Mão de Obra</x:v>
      </x:c>
      <x:c r="G338" t="str">
        <x:v>Irrigação</x:v>
      </x:c>
      <x:c r="H338" t="str">
        <x:v>Irrigação</x:v>
      </x:c>
      <x:c r="I338" s="10" t="n">
        <x:v>8.87</x:v>
      </x:c>
      <x:c r="J338" t="str">
        <x:v>Hora</x:v>
      </x:c>
      <x:c r="K338" s="8" t="n">
        <x:v>23</x:v>
      </x:c>
      <x:c r="L338" s="8" t="n">
        <x:v>204.01</x:v>
      </x:c>
      <x:c r="M338" t="str">
        <x:v>Antônio Carlos</x:v>
      </x:c>
      <x:c r="N338" t="str">
        <x:v>Poço 01</x:v>
      </x:c>
      <x:c r="O338" t="str">
        <x:v>Não</x:v>
      </x:c>
      <x:c r="P338" t="str">
        <x:v>Dado fictício para demonstração</x:v>
      </x:c>
    </x:row>
    <x:row r="339">
      <x:c r="A339" s="6" t="n">
        <x:v>46011</x:v>
      </x:c>
      <x:c r="B339" t="n">
        <x:v>2025</x:v>
      </x:c>
      <x:c r="C339" t="str">
        <x:v>Dez</x:v>
      </x:c>
      <x:c r="D339" t="str">
        <x:v>2025</x:v>
      </x:c>
      <x:c r="E339" t="str">
        <x:v>Insumos</x:v>
      </x:c>
      <x:c r="F339" t="str">
        <x:v>Insumos</x:v>
      </x:c>
      <x:c r="G339" t="str">
        <x:v>Ureia</x:v>
      </x:c>
      <x:c r="H339" t="str">
        <x:v>Adubação</x:v>
      </x:c>
      <x:c r="I339" s="10" t="n">
        <x:v>45.78</x:v>
      </x:c>
      <x:c r="J339" t="str">
        <x:v>KG</x:v>
      </x:c>
      <x:c r="K339" s="8" t="n">
        <x:v>16.8</x:v>
      </x:c>
      <x:c r="L339" s="8" t="n">
        <x:v>769.1</x:v>
      </x:c>
      <x:c r="M339" t="str">
        <x:v>-</x:v>
      </x:c>
      <x:c r="N339" t="str">
        <x:v>Poço 01</x:v>
      </x:c>
      <x:c r="O339" t="str">
        <x:v>Não</x:v>
      </x:c>
      <x:c r="P339" t="str">
        <x:v>Dado fictício para demonstração</x:v>
      </x:c>
    </x:row>
    <x:row r="340">
      <x:c r="A340" s="6" t="n">
        <x:v>46011</x:v>
      </x:c>
      <x:c r="B340" t="n">
        <x:v>2025</x:v>
      </x:c>
      <x:c r="C340" t="str">
        <x:v>Dez</x:v>
      </x:c>
      <x:c r="D340" t="str">
        <x:v>2025</x:v>
      </x:c>
      <x:c r="E340" t="str">
        <x:v>Insumos</x:v>
      </x:c>
      <x:c r="F340" t="str">
        <x:v>Insumos</x:v>
      </x:c>
      <x:c r="G340" t="str">
        <x:v>Adubo 20.00.20</x:v>
      </x:c>
      <x:c r="H340" t="str">
        <x:v>Adubação</x:v>
      </x:c>
      <x:c r="I340" s="10" t="n">
        <x:v>85.34</x:v>
      </x:c>
      <x:c r="J340" t="str">
        <x:v>KG</x:v>
      </x:c>
      <x:c r="K340" s="8" t="n">
        <x:v>25</x:v>
      </x:c>
      <x:c r="L340" s="8" t="n">
        <x:v>2133.5</x:v>
      </x:c>
      <x:c r="M340" t="str">
        <x:v>-</x:v>
      </x:c>
      <x:c r="N340" t="str">
        <x:v>Poço 02</x:v>
      </x:c>
      <x:c r="O340" t="str">
        <x:v>Não</x:v>
      </x:c>
      <x:c r="P340" t="str">
        <x:v>Dado fictício para demonstração</x:v>
      </x:c>
    </x:row>
    <x:row r="341">
      <x:c r="A341" s="6" t="n">
        <x:v>46012</x:v>
      </x:c>
      <x:c r="B341" t="n">
        <x:v>2025</x:v>
      </x:c>
      <x:c r="C341" t="str">
        <x:v>Dez</x:v>
      </x:c>
      <x:c r="D341" t="str">
        <x:v>2025</x:v>
      </x:c>
      <x:c r="E341" t="str">
        <x:v>Insumos</x:v>
      </x:c>
      <x:c r="F341" t="str">
        <x:v>Insumos</x:v>
      </x:c>
      <x:c r="G341" t="str">
        <x:v>Esterco de Gado</x:v>
      </x:c>
      <x:c r="H341" t="str">
        <x:v>Adubação</x:v>
      </x:c>
      <x:c r="I341" s="10" t="n">
        <x:v>6.06</x:v>
      </x:c>
      <x:c r="J341" t="str">
        <x:v>TON</x:v>
      </x:c>
      <x:c r="K341" s="8" t="n">
        <x:v>490</x:v>
      </x:c>
      <x:c r="L341" s="8" t="n">
        <x:v>2969.4</x:v>
      </x:c>
      <x:c r="M341" t="str">
        <x:v>-</x:v>
      </x:c>
      <x:c r="N341" t="str">
        <x:v>Poço 02</x:v>
      </x:c>
      <x:c r="O341" t="str">
        <x:v>Não</x:v>
      </x:c>
      <x:c r="P341" t="str">
        <x:v>Dado fictício para demonstração</x:v>
      </x:c>
    </x:row>
    <x:row r="342">
      <x:c r="A342" s="6" t="n">
        <x:v>46013</x:v>
      </x:c>
      <x:c r="B342" t="n">
        <x:v>2025</x:v>
      </x:c>
      <x:c r="C342" t="str">
        <x:v>Dez</x:v>
      </x:c>
      <x:c r="D342" t="str">
        <x:v>Plantio 08/2025</x:v>
      </x:c>
      <x:c r="E342" t="str">
        <x:v>Insumos</x:v>
      </x:c>
      <x:c r="F342" t="str">
        <x:v>Plantio Novo</x:v>
      </x:c>
      <x:c r="G342" t="str">
        <x:v>Vertimec</x:v>
      </x:c>
      <x:c r="H342" t="str">
        <x:v>Defensivos</x:v>
      </x:c>
      <x:c r="I342" s="10" t="n">
        <x:v>1.7</x:v>
      </x:c>
      <x:c r="J342" t="str">
        <x:v>LT</x:v>
      </x:c>
      <x:c r="K342" s="8" t="n">
        <x:v>630</x:v>
      </x:c>
      <x:c r="L342" s="8" t="n">
        <x:v>1071</x:v>
      </x:c>
      <x:c r="M342" t="str">
        <x:v>-</x:v>
      </x:c>
      <x:c r="N342" t="str">
        <x:v>Talhão Novo 08/2025</x:v>
      </x:c>
      <x:c r="O342" t="str">
        <x:v>Sim</x:v>
      </x:c>
      <x:c r="P342" t="str">
        <x:v>Plantio novo fictício</x:v>
      </x:c>
    </x:row>
    <x:row r="343">
      <x:c r="A343" s="6" t="n">
        <x:v>46014</x:v>
      </x:c>
      <x:c r="B343" t="n">
        <x:v>2025</x:v>
      </x:c>
      <x:c r="C343" t="str">
        <x:v>Dez</x:v>
      </x:c>
      <x:c r="D343" t="str">
        <x:v>Plantio 08/2025</x:v>
      </x:c>
      <x:c r="E343" t="str">
        <x:v>Insumos</x:v>
      </x:c>
      <x:c r="F343" t="str">
        <x:v>Plantio Novo</x:v>
      </x:c>
      <x:c r="G343" t="str">
        <x:v>Cobre Recop</x:v>
      </x:c>
      <x:c r="H343" t="str">
        <x:v>Cancro</x:v>
      </x:c>
      <x:c r="I343" s="10" t="n">
        <x:v>15.77</x:v>
      </x:c>
      <x:c r="J343" t="str">
        <x:v>KG</x:v>
      </x:c>
      <x:c r="K343" s="8" t="n">
        <x:v>67.5</x:v>
      </x:c>
      <x:c r="L343" s="8" t="n">
        <x:v>1064.47</x:v>
      </x:c>
      <x:c r="M343" t="str">
        <x:v>-</x:v>
      </x:c>
      <x:c r="N343" t="str">
        <x:v>Talhão Novo 08/2025</x:v>
      </x:c>
      <x:c r="O343" t="str">
        <x:v>Sim</x:v>
      </x:c>
      <x:c r="P343" t="str">
        <x:v>Plantio novo fictício</x:v>
      </x:c>
    </x:row>
    <x:row r="344">
      <x:c r="A344" s="6" t="n">
        <x:v>46016</x:v>
      </x:c>
      <x:c r="B344" t="n">
        <x:v>2025</x:v>
      </x:c>
      <x:c r="C344" t="str">
        <x:v>Dez</x:v>
      </x:c>
      <x:c r="D344" t="str">
        <x:v>2025</x:v>
      </x:c>
      <x:c r="E344" t="str">
        <x:v>Insumos</x:v>
      </x:c>
      <x:c r="F344" t="str">
        <x:v>Insumos</x:v>
      </x:c>
      <x:c r="G344" t="str">
        <x:v>Glifosato</x:v>
      </x:c>
      <x:c r="H344" t="str">
        <x:v>Herbicida</x:v>
      </x:c>
      <x:c r="I344" s="10" t="n">
        <x:v>23.76</x:v>
      </x:c>
      <x:c r="J344" t="str">
        <x:v>LT</x:v>
      </x:c>
      <x:c r="K344" s="8" t="n">
        <x:v>44</x:v>
      </x:c>
      <x:c r="L344" s="8" t="n">
        <x:v>1045.44</x:v>
      </x:c>
      <x:c r="M344" t="str">
        <x:v>-</x:v>
      </x:c>
      <x:c r="N344" t="str">
        <x:v>Poço 03</x:v>
      </x:c>
      <x:c r="O344" t="str">
        <x:v>Não</x:v>
      </x:c>
      <x:c r="P344" t="str">
        <x:v>Dado fictício para demonstração</x:v>
      </x:c>
    </x:row>
    <x:row r="345">
      <x:c r="A345" s="6" t="n">
        <x:v>46016</x:v>
      </x:c>
      <x:c r="B345" t="n">
        <x:v>2025</x:v>
      </x:c>
      <x:c r="C345" t="str">
        <x:v>Dez</x:v>
      </x:c>
      <x:c r="D345" t="str">
        <x:v>2025</x:v>
      </x:c>
      <x:c r="E345" t="str">
        <x:v>Insumos</x:v>
      </x:c>
      <x:c r="F345" t="str">
        <x:v>Insumos</x:v>
      </x:c>
      <x:c r="G345" t="str">
        <x:v>Bórax</x:v>
      </x:c>
      <x:c r="H345" t="str">
        <x:v>Nutrição</x:v>
      </x:c>
      <x:c r="I345" s="10" t="n">
        <x:v>9.16</x:v>
      </x:c>
      <x:c r="J345" t="str">
        <x:v>KG</x:v>
      </x:c>
      <x:c r="K345" s="8" t="n">
        <x:v>35.6</x:v>
      </x:c>
      <x:c r="L345" s="8" t="n">
        <x:v>326.1</x:v>
      </x:c>
      <x:c r="M345" t="str">
        <x:v>-</x:v>
      </x:c>
      <x:c r="N345" t="str">
        <x:v>Poço 03</x:v>
      </x:c>
      <x:c r="O345" t="str">
        <x:v>Não</x:v>
      </x:c>
      <x:c r="P345" t="str">
        <x:v>Dado fictício para demonstração</x:v>
      </x:c>
    </x:row>
    <x:row r="346">
      <x:c r="A346" s="6" t="n">
        <x:v>46016</x:v>
      </x:c>
      <x:c r="B346" t="n">
        <x:v>2025</x:v>
      </x:c>
      <x:c r="C346" t="str">
        <x:v>Dez</x:v>
      </x:c>
      <x:c r="D346" t="str">
        <x:v>2025</x:v>
      </x:c>
      <x:c r="E346" t="str">
        <x:v>Mão de Obra</x:v>
      </x:c>
      <x:c r="F346" t="str">
        <x:v>Mão de Obra</x:v>
      </x:c>
      <x:c r="G346" t="str">
        <x:v>Irrigação</x:v>
      </x:c>
      <x:c r="H346" t="str">
        <x:v>Irrigação</x:v>
      </x:c>
      <x:c r="I346" s="10" t="n">
        <x:v>4.27</x:v>
      </x:c>
      <x:c r="J346" t="str">
        <x:v>Hora</x:v>
      </x:c>
      <x:c r="K346" s="8" t="n">
        <x:v>23</x:v>
      </x:c>
      <x:c r="L346" s="8" t="n">
        <x:v>98.21</x:v>
      </x:c>
      <x:c r="M346" t="str">
        <x:v>Antônio Carlos</x:v>
      </x:c>
      <x:c r="N346" t="str">
        <x:v>Poço 01</x:v>
      </x:c>
      <x:c r="O346" t="str">
        <x:v>Não</x:v>
      </x:c>
      <x:c r="P346" t="str">
        <x:v>Dado fictício para demonstração</x:v>
      </x:c>
    </x:row>
    <x:row r="347">
      <x:c r="A347" s="6" t="n">
        <x:v>46016</x:v>
      </x:c>
      <x:c r="B347" t="n">
        <x:v>2025</x:v>
      </x:c>
      <x:c r="C347" t="str">
        <x:v>Dez</x:v>
      </x:c>
      <x:c r="D347" t="str">
        <x:v>2025</x:v>
      </x:c>
      <x:c r="E347" t="str">
        <x:v>Mão de Obra</x:v>
      </x:c>
      <x:c r="F347" t="str">
        <x:v>Mão de Obra</x:v>
      </x:c>
      <x:c r="G347" t="str">
        <x:v>Aplicação de herbicida</x:v>
      </x:c>
      <x:c r="H347" t="str">
        <x:v>Herbicida</x:v>
      </x:c>
      <x:c r="I347" s="10" t="n">
        <x:v>7.53</x:v>
      </x:c>
      <x:c r="J347" t="str">
        <x:v>Hora</x:v>
      </x:c>
      <x:c r="K347" s="8" t="n">
        <x:v>26</x:v>
      </x:c>
      <x:c r="L347" s="8" t="n">
        <x:v>195.78</x:v>
      </x:c>
      <x:c r="M347" t="str">
        <x:v>Rogério Lima</x:v>
      </x:c>
      <x:c r="N347" t="str">
        <x:v>Poço 01</x:v>
      </x:c>
      <x:c r="O347" t="str">
        <x:v>Não</x:v>
      </x:c>
      <x:c r="P347" t="str">
        <x:v>Dado fictício para demonstração</x:v>
      </x:c>
    </x:row>
    <x:row r="348">
      <x:c r="A348" s="6" t="n">
        <x:v>46019</x:v>
      </x:c>
      <x:c r="B348" t="n">
        <x:v>2025</x:v>
      </x:c>
      <x:c r="C348" t="str">
        <x:v>Dez</x:v>
      </x:c>
      <x:c r="D348" t="str">
        <x:v>2025</x:v>
      </x:c>
      <x:c r="E348" t="str">
        <x:v>Produção</x:v>
      </x:c>
      <x:c r="F348" t="str">
        <x:v>Produção</x:v>
      </x:c>
      <x:c r="G348" t="str">
        <x:v>Caixas de Limão</x:v>
      </x:c>
      <x:c r="H348" t="str">
        <x:v>Produção mensal</x:v>
      </x:c>
      <x:c r="I348" s="10" t="n">
        <x:v>452</x:v>
      </x:c>
      <x:c r="J348" t="str">
        <x:v>CX</x:v>
      </x:c>
      <x:c r="K348" s="8" t="n">
        <x:v>0</x:v>
      </x:c>
      <x:c r="L348" s="8" t="n">
        <x:v>0</x:v>
      </x:c>
      <x:c r="M348" t="str">
        <x:v>-</x:v>
      </x:c>
      <x:c r="N348" t="str">
        <x:v>Geral</x:v>
      </x:c>
      <x:c r="O348" t="str">
        <x:v>Não</x:v>
      </x:c>
      <x:c r="P348" t="str">
        <x:v>Produção fictícia: 452 caixas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3" t="str">
        <x:v>Planilha modelo para alimentar o Dashboard Agrícola — Limão</x:v>
      </x:c>
    </x:row>
    <x:row r="2">
      <x:c r="A2" t="str"/>
    </x:row>
    <x:row r="3">
      <x:c r="A3" t="str">
        <x:v>Como usar</x:v>
      </x:c>
    </x:row>
    <x:row r="4">
      <x:c r="A4" t="str">
        <x:v>1. Carregue este arquivo na página dashboard-agricola-limao.</x:v>
      </x:c>
    </x:row>
    <x:row r="5">
      <x:c r="A5" t="str">
        <x:v>2. A aba principal é Lancamentos. Ela já está preenchida com dados fictícios para teste.</x:v>
      </x:c>
    </x:row>
    <x:row r="6">
      <x:c r="A6" t="str">
        <x:v>3. Para usar com cliente real, mantenha os mesmos nomes das colunas e substitua os lançamentos.</x:v>
      </x:c>
    </x:row>
    <x:row r="7">
      <x:c r="A7" t="str">
        <x:v>4. O dashboard usa principalmente Data, Tipo de Custo, Categoria, Produto / Atividade, Motivo / Aplicação, Quantidade, Valor Total, Funcionário, Área / Poço e Plantio Novo?.</x:v>
      </x:c>
    </x:row>
    <x:row r="8">
      <x:c r="A8" t="str"/>
    </x:row>
    <x:row r="9">
      <x:c r="A9" t="str">
        <x:v>Categorias sugeridas</x:v>
      </x:c>
    </x:row>
    <x:row r="10">
      <x:c r="A10" t="str">
        <x:v>Insumos, Mão de Obra, Custos Gerais, Produção, Plantio Novo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Indicador</x:v>
      </x:c>
      <x:c r="B1" s="3" t="str">
        <x:v>Valor</x:v>
      </x:c>
      <x:c r="C1" s="3" t="str">
        <x:v>Observação</x:v>
      </x:c>
    </x:row>
    <x:row r="2">
      <x:c r="A2" t="str">
        <x:v>Total de pés</x:v>
      </x:c>
      <x:c r="B2" t="n">
        <x:v>57520</x:v>
      </x:c>
      <x:c r="C2" t="str">
        <x:v>Usado para cálculo de custo por pé</x:v>
      </x:c>
    </x:row>
    <x:row r="3">
      <x:c r="A3" t="str">
        <x:v>Pés plantio novo</x:v>
      </x:c>
      <x:c r="B3" t="n">
        <x:v>4102</x:v>
      </x:c>
      <x:c r="C3" t="str">
        <x:v>Talhão Novo 08/2025</x:v>
      </x:c>
    </x:row>
    <x:row r="4">
      <x:c r="A4" t="str">
        <x:v>Área total (ha)</x:v>
      </x:c>
      <x:c r="B4" t="n">
        <x:v>62.45</x:v>
      </x:c>
      <x:c r="C4" t="str">
        <x:v>Demonstração</x:v>
      </x:c>
    </x:row>
    <x:row r="5">
      <x:c r="A5" t="str">
        <x:v>Peso médio por caixa (kg)</x:v>
      </x:c>
      <x:c r="B5" t="n">
        <x:v>24</x:v>
      </x:c>
      <x:c r="C5" t="str">
        <x:v>Para estimar produção em kg</x:v>
      </x:c>
    </x:row>
    <x:row r="6">
      <x:c r="A6" t="str">
        <x:v>Cliente</x:v>
      </x:c>
      <x:c r="B6" t="str">
        <x:v>Fazenda Demonstração</x:v>
      </x:c>
      <x:c r="C6" t="str">
        <x:v>Dados fictícios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" t="str">
        <x:v>Resumo demonstrativo dos dados fictícios</x:v>
      </x:c>
      <x:c r="B1" s="2" t="str"/>
      <x:c r="C1" s="2" t="str"/>
      <x:c r="D1" s="2" t="str"/>
      <x:c r="E1" s="2" t="str"/>
      <x:c r="F1" s="2" t="str"/>
    </x:row>
    <x:row r="3">
      <x:c r="A3" t="str">
        <x:v>Total gasto</x:v>
      </x:c>
      <x:c r="B3" s="8" t="n">
        <x:f>SUM(Lancamentos!L:L)</x:f>
        <x:v>240091.3</x:v>
      </x:c>
    </x:row>
    <x:row r="4">
      <x:c r="A4" t="str">
        <x:v>Total insumos</x:v>
      </x:c>
      <x:c r="B4" s="8" t="n">
        <x:f>SUMIF(Lancamentos!E:E,"Insumos",Lancamentos!L:L)</x:f>
        <x:v>186795.2000000001</x:v>
      </x:c>
    </x:row>
    <x:row r="5">
      <x:c r="A5" t="str">
        <x:v>Mão de obra</x:v>
      </x:c>
      <x:c r="B5" s="8" t="n">
        <x:f>SUMIF(Lancamentos!E:E,"Mão de Obra",Lancamentos!L:L)</x:f>
        <x:v>32416.619999999995</x:v>
      </x:c>
    </x:row>
    <x:row r="6">
      <x:c r="A6" t="str">
        <x:v>Custos gerais</x:v>
      </x:c>
      <x:c r="B6" s="8" t="n">
        <x:f>SUMIF(Lancamentos!E:E,"Custos Gerais",Lancamentos!L:L)</x:f>
        <x:v>20879.48</x:v>
      </x:c>
    </x:row>
    <x:row r="7">
      <x:c r="A7" t="str">
        <x:v>Produção total (cx)</x:v>
      </x:c>
      <x:c r="B7" s="12" t="n">
        <x:f>SUMIF(Lancamentos!E:E,"Produção",Lancamentos!I:I)</x:f>
        <x:v>6798</x:v>
      </x:c>
    </x:row>
    <x:row r="8">
      <x:c r="A8" t="str">
        <x:v>Custo por pé</x:v>
      </x:c>
      <x:c r="B8" s="8" t="n">
        <x:f>B3/Parametros!B2</x:f>
        <x:v>4.174049026425591</x:v>
      </x:c>
    </x:row>
    <x:row r="9">
      <x:c r="A9" t="str">
        <x:v>Custo por caixa</x:v>
      </x:c>
      <x:c r="B9" s="8" t="n">
        <x:f>B3/B7</x:f>
        <x:v>35.31793174463077</x:v>
      </x:c>
    </x:row>
    <x:row r="12">
      <x:c r="A12" s="3" t="str">
        <x:v>Mês</x:v>
      </x:c>
      <x:c r="B12" s="3" t="str">
        <x:v>Insumos</x:v>
      </x:c>
      <x:c r="C12" s="3" t="str">
        <x:v>Mão de Obra</x:v>
      </x:c>
      <x:c r="D12" s="3" t="str">
        <x:v>Custos Gerais</x:v>
      </x:c>
      <x:c r="E12" s="3" t="str">
        <x:v>Produção (cx)</x:v>
      </x:c>
    </x:row>
    <x:row r="13">
      <x:c r="A13" t="str">
        <x:v>Jan</x:v>
      </x:c>
      <x:c r="B13" s="8" t="n">
        <x:f>SUMIFS(Lancamentos!L:L,Lancamentos!C:C,A13,Lancamentos!E:E,"Insumos")</x:f>
        <x:v>9438.250000000002</x:v>
      </x:c>
      <x:c r="C13" s="8" t="n">
        <x:f>SUMIFS(Lancamentos!L:L,Lancamentos!C:C,A13,Lancamentos!E:E,"Mão de Obra")</x:f>
        <x:v>1479.1</x:v>
      </x:c>
      <x:c r="D13" s="8" t="n">
        <x:f>SUMIFS(Lancamentos!L:L,Lancamentos!C:C,A13,Lancamentos!E:E,"Custos Gerais")</x:f>
        <x:v>988.6999999999999</x:v>
      </x:c>
      <x:c r="E13" s="12" t="n">
        <x:f>SUMIFS(Lancamentos!I:I,Lancamentos!C:C,A13,Lancamentos!E:E,"Produção")</x:f>
        <x:v>517</x:v>
      </x:c>
    </x:row>
    <x:row r="14">
      <x:c r="A14" t="str">
        <x:v>Fev</x:v>
      </x:c>
      <x:c r="B14" s="8" t="n">
        <x:f>SUMIFS(Lancamentos!L:L,Lancamentos!C:C,A14,Lancamentos!E:E,"Insumos")</x:f>
        <x:v>12260.83</x:v>
      </x:c>
      <x:c r="C14" s="8" t="n">
        <x:f>SUMIFS(Lancamentos!L:L,Lancamentos!C:C,A14,Lancamentos!E:E,"Mão de Obra")</x:f>
        <x:v>2759.86</x:v>
      </x:c>
      <x:c r="D14" s="8" t="n">
        <x:f>SUMIFS(Lancamentos!L:L,Lancamentos!C:C,A14,Lancamentos!E:E,"Custos Gerais")</x:f>
        <x:v>1446.0900000000001</x:v>
      </x:c>
      <x:c r="E14" s="12" t="n">
        <x:f>SUMIFS(Lancamentos!I:I,Lancamentos!C:C,A14,Lancamentos!E:E,"Produção")</x:f>
        <x:v>486</x:v>
      </x:c>
    </x:row>
    <x:row r="15">
      <x:c r="A15" t="str">
        <x:v>Mar</x:v>
      </x:c>
      <x:c r="B15" s="8" t="n">
        <x:f>SUMIFS(Lancamentos!L:L,Lancamentos!C:C,A15,Lancamentos!E:E,"Insumos")</x:f>
        <x:v>13389.35</x:v>
      </x:c>
      <x:c r="C15" s="8" t="n">
        <x:f>SUMIFS(Lancamentos!L:L,Lancamentos!C:C,A15,Lancamentos!E:E,"Mão de Obra")</x:f>
        <x:v>3297.43</x:v>
      </x:c>
      <x:c r="D15" s="8" t="n">
        <x:f>SUMIFS(Lancamentos!L:L,Lancamentos!C:C,A15,Lancamentos!E:E,"Custos Gerais")</x:f>
        <x:v>1780.61</x:v>
      </x:c>
      <x:c r="E15" s="12" t="n">
        <x:f>SUMIFS(Lancamentos!I:I,Lancamentos!C:C,A15,Lancamentos!E:E,"Produção")</x:f>
        <x:v>571</x:v>
      </x:c>
    </x:row>
    <x:row r="16">
      <x:c r="A16" t="str">
        <x:v>Abr</x:v>
      </x:c>
      <x:c r="B16" s="8" t="n">
        <x:f>SUMIFS(Lancamentos!L:L,Lancamentos!C:C,A16,Lancamentos!E:E,"Insumos")</x:f>
        <x:v>19758.120000000003</x:v>
      </x:c>
      <x:c r="C16" s="8" t="n">
        <x:f>SUMIFS(Lancamentos!L:L,Lancamentos!C:C,A16,Lancamentos!E:E,"Mão de Obra")</x:f>
        <x:v>2937.120000000001</x:v>
      </x:c>
      <x:c r="D16" s="8" t="n">
        <x:f>SUMIFS(Lancamentos!L:L,Lancamentos!C:C,A16,Lancamentos!E:E,"Custos Gerais")</x:f>
        <x:v>870.25</x:v>
      </x:c>
      <x:c r="E16" s="12" t="n">
        <x:f>SUMIFS(Lancamentos!I:I,Lancamentos!C:C,A16,Lancamentos!E:E,"Produção")</x:f>
        <x:v>632</x:v>
      </x:c>
    </x:row>
    <x:row r="17">
      <x:c r="A17" t="str">
        <x:v>Mai</x:v>
      </x:c>
      <x:c r="B17" s="8" t="n">
        <x:f>SUMIFS(Lancamentos!L:L,Lancamentos!C:C,A17,Lancamentos!E:E,"Insumos")</x:f>
        <x:v>8615.22</x:v>
      </x:c>
      <x:c r="C17" s="8" t="n">
        <x:f>SUMIFS(Lancamentos!L:L,Lancamentos!C:C,A17,Lancamentos!E:E,"Mão de Obra")</x:f>
        <x:v>3101.86</x:v>
      </x:c>
      <x:c r="D17" s="8" t="n">
        <x:f>SUMIFS(Lancamentos!L:L,Lancamentos!C:C,A17,Lancamentos!E:E,"Custos Gerais")</x:f>
        <x:v>2730.5</x:v>
      </x:c>
      <x:c r="E17" s="12" t="n">
        <x:f>SUMIFS(Lancamentos!I:I,Lancamentos!C:C,A17,Lancamentos!E:E,"Produção")</x:f>
        <x:v>569</x:v>
      </x:c>
    </x:row>
    <x:row r="18">
      <x:c r="A18" t="str">
        <x:v>Jun</x:v>
      </x:c>
      <x:c r="B18" s="8" t="n">
        <x:f>SUMIFS(Lancamentos!L:L,Lancamentos!C:C,A18,Lancamentos!E:E,"Insumos")</x:f>
        <x:v>9007.039999999999</x:v>
      </x:c>
      <x:c r="C18" s="8" t="n">
        <x:f>SUMIFS(Lancamentos!L:L,Lancamentos!C:C,A18,Lancamentos!E:E,"Mão de Obra")</x:f>
        <x:v>1338.37</x:v>
      </x:c>
      <x:c r="D18" s="8" t="n">
        <x:f>SUMIFS(Lancamentos!L:L,Lancamentos!C:C,A18,Lancamentos!E:E,"Custos Gerais")</x:f>
        <x:v>3255.54</x:v>
      </x:c>
      <x:c r="E18" s="12" t="n">
        <x:f>SUMIFS(Lancamentos!I:I,Lancamentos!C:C,A18,Lancamentos!E:E,"Produção")</x:f>
        <x:v>673</x:v>
      </x:c>
    </x:row>
    <x:row r="19">
      <x:c r="A19" t="str">
        <x:v>Jul</x:v>
      </x:c>
      <x:c r="B19" s="8" t="n">
        <x:f>SUMIFS(Lancamentos!L:L,Lancamentos!C:C,A19,Lancamentos!E:E,"Insumos")</x:f>
        <x:v>13085.759999999998</x:v>
      </x:c>
      <x:c r="C19" s="8" t="n">
        <x:f>SUMIFS(Lancamentos!L:L,Lancamentos!C:C,A19,Lancamentos!E:E,"Mão de Obra")</x:f>
        <x:v>2396.87</x:v>
      </x:c>
      <x:c r="D19" s="8" t="n">
        <x:f>SUMIFS(Lancamentos!L:L,Lancamentos!C:C,A19,Lancamentos!E:E,"Custos Gerais")</x:f>
        <x:v>1645.17</x:v>
      </x:c>
      <x:c r="E19" s="12" t="n">
        <x:f>SUMIFS(Lancamentos!I:I,Lancamentos!C:C,A19,Lancamentos!E:E,"Produção")</x:f>
        <x:v>703</x:v>
      </x:c>
    </x:row>
    <x:row r="20">
      <x:c r="A20" t="str">
        <x:v>Ago</x:v>
      </x:c>
      <x:c r="B20" s="8" t="n">
        <x:f>SUMIFS(Lancamentos!L:L,Lancamentos!C:C,A20,Lancamentos!E:E,"Insumos")</x:f>
        <x:v>18390.24</x:v>
      </x:c>
      <x:c r="C20" s="8" t="n">
        <x:f>SUMIFS(Lancamentos!L:L,Lancamentos!C:C,A20,Lancamentos!E:E,"Mão de Obra")</x:f>
        <x:v>3491.5000000000005</x:v>
      </x:c>
      <x:c r="D20" s="8" t="n">
        <x:f>SUMIFS(Lancamentos!L:L,Lancamentos!C:C,A20,Lancamentos!E:E,"Custos Gerais")</x:f>
        <x:v>987.75</x:v>
      </x:c>
      <x:c r="E20" s="12" t="n">
        <x:f>SUMIFS(Lancamentos!I:I,Lancamentos!C:C,A20,Lancamentos!E:E,"Produção")</x:f>
        <x:v>738</x:v>
      </x:c>
    </x:row>
    <x:row r="21">
      <x:c r="A21" t="str">
        <x:v>Set</x:v>
      </x:c>
      <x:c r="B21" s="8" t="n">
        <x:f>SUMIFS(Lancamentos!L:L,Lancamentos!C:C,A21,Lancamentos!E:E,"Insumos")</x:f>
        <x:v>16163.7</x:v>
      </x:c>
      <x:c r="C21" s="8" t="n">
        <x:f>SUMIFS(Lancamentos!L:L,Lancamentos!C:C,A21,Lancamentos!E:E,"Mão de Obra")</x:f>
        <x:v>2186.52</x:v>
      </x:c>
      <x:c r="D21" s="8" t="n">
        <x:f>SUMIFS(Lancamentos!L:L,Lancamentos!C:C,A21,Lancamentos!E:E,"Custos Gerais")</x:f>
        <x:v>2726.54</x:v>
      </x:c>
      <x:c r="E21" s="12" t="n">
        <x:f>SUMIFS(Lancamentos!I:I,Lancamentos!C:C,A21,Lancamentos!E:E,"Produção")</x:f>
        <x:v>544</x:v>
      </x:c>
    </x:row>
    <x:row r="22">
      <x:c r="A22" t="str">
        <x:v>Out</x:v>
      </x:c>
      <x:c r="B22" s="8" t="n">
        <x:f>SUMIFS(Lancamentos!L:L,Lancamentos!C:C,A22,Lancamentos!E:E,"Insumos")</x:f>
        <x:v>24375.879999999997</x:v>
      </x:c>
      <x:c r="C22" s="8" t="n">
        <x:f>SUMIFS(Lancamentos!L:L,Lancamentos!C:C,A22,Lancamentos!E:E,"Mão de Obra")</x:f>
        <x:v>2906.0899999999997</x:v>
      </x:c>
      <x:c r="D22" s="8" t="n">
        <x:f>SUMIFS(Lancamentos!L:L,Lancamentos!C:C,A22,Lancamentos!E:E,"Custos Gerais")</x:f>
        <x:v>1559.79</x:v>
      </x:c>
      <x:c r="E22" s="12" t="n">
        <x:f>SUMIFS(Lancamentos!I:I,Lancamentos!C:C,A22,Lancamentos!E:E,"Produção")</x:f>
        <x:v>407</x:v>
      </x:c>
    </x:row>
    <x:row r="23">
      <x:c r="A23" t="str">
        <x:v>Nov</x:v>
      </x:c>
      <x:c r="B23" s="8" t="n">
        <x:f>SUMIFS(Lancamentos!L:L,Lancamentos!C:C,A23,Lancamentos!E:E,"Insumos")</x:f>
        <x:v>21472.17</x:v>
      </x:c>
      <x:c r="C23" s="8" t="n">
        <x:f>SUMIFS(Lancamentos!L:L,Lancamentos!C:C,A23,Lancamentos!E:E,"Mão de Obra")</x:f>
        <x:v>3594.3600000000006</x:v>
      </x:c>
      <x:c r="D23" s="8" t="n">
        <x:f>SUMIFS(Lancamentos!L:L,Lancamentos!C:C,A23,Lancamentos!E:E,"Custos Gerais")</x:f>
        <x:v>1475.5</x:v>
      </x:c>
      <x:c r="E23" s="12" t="n">
        <x:f>SUMIFS(Lancamentos!I:I,Lancamentos!C:C,A23,Lancamentos!E:E,"Produção")</x:f>
        <x:v>506</x:v>
      </x:c>
    </x:row>
    <x:row r="24">
      <x:c r="A24" t="str">
        <x:v>Dez</x:v>
      </x:c>
      <x:c r="B24" s="8" t="n">
        <x:f>SUMIFS(Lancamentos!L:L,Lancamentos!C:C,A24,Lancamentos!E:E,"Insumos")</x:f>
        <x:v>20838.64</x:v>
      </x:c>
      <x:c r="C24" s="8" t="n">
        <x:f>SUMIFS(Lancamentos!L:L,Lancamentos!C:C,A24,Lancamentos!E:E,"Mão de Obra")</x:f>
        <x:v>2927.5400000000004</x:v>
      </x:c>
      <x:c r="D24" s="8" t="n">
        <x:f>SUMIFS(Lancamentos!L:L,Lancamentos!C:C,A24,Lancamentos!E:E,"Custos Gerais")</x:f>
        <x:v>1413.04</x:v>
      </x:c>
      <x:c r="E24" s="12" t="n">
        <x:f>SUMIFS(Lancamentos!I:I,Lancamentos!C:C,A24,Lancamentos!E:E,"Produção")</x:f>
        <x:v>452</x:v>
      </x:c>
    </x:row>
  </x:sheetData>
  <x:pageMargins left="0.7" right="0.7" top="0.75" bottom="0.75" header="0.3" footer="0.3"/>
  <x:drawing xmlns:r="http://schemas.openxmlformats.org/officeDocument/2006/relationships" r:id="Ree173552c2dc4dbf"/>
</x:worksheet>
</file>